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tart Here" sheetId="1" state="visible" r:id="rId1"/>
    <sheet xmlns:r="http://schemas.openxmlformats.org/officeDocument/2006/relationships" name="1. Setup" sheetId="2" state="visible" r:id="rId2"/>
    <sheet xmlns:r="http://schemas.openxmlformats.org/officeDocument/2006/relationships" name="2. Dashboard" sheetId="3" state="visible" r:id="rId3"/>
    <sheet xmlns:r="http://schemas.openxmlformats.org/officeDocument/2006/relationships" name="3. Scenarios" sheetId="4" state="visible" r:id="rId4"/>
    <sheet xmlns:r="http://schemas.openxmlformats.org/officeDocument/2006/relationships" name="4. Trend" sheetId="5" state="visible" r:id="rId5"/>
    <sheet xmlns:r="http://schemas.openxmlformats.org/officeDocument/2006/relationships" name="Ref" sheetId="6" state="visible" r:id="rId6"/>
    <sheet xmlns:r="http://schemas.openxmlformats.org/officeDocument/2006/relationships" name="Signature" sheetId="7" state="visible" r:id="rId7"/>
  </sheets>
  <definedNames>
    <definedName name="_xlnm.Print_Area" localSheetId="0">'0. Start Here'!$A$1:$H$48</definedName>
    <definedName name="_xlnm.Print_Area" localSheetId="1">'1. Setup'!$A$1:$H$70</definedName>
    <definedName name="_xlnm.Print_Area" localSheetId="2">'2. Dashboard'!$A$1:$H$70</definedName>
    <definedName name="_xlnm.Print_Area" localSheetId="3">'3. Scenarios'!$A$1:$F$35</definedName>
    <definedName name="_xlnm.Print_Area" localSheetId="4">'4. Trend'!$A$1:$M$40</definedName>
    <definedName name="_xlnm.Print_Area" localSheetId="5">'Ref'!$A$1:$D$36</definedName>
    <definedName name="_xlnm.Print_Area" localSheetId="6">'Signature'!$A$1:$B$14</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quot;x&quot;"/>
    <numFmt numFmtId="167" formatCode="0.0"/>
  </numFmts>
  <fonts count="21">
    <font>
      <name val="Calibri"/>
      <family val="2"/>
      <color theme="1"/>
      <sz val="11"/>
      <scheme val="minor"/>
    </font>
    <font>
      <name val="Arial"/>
      <b val="1"/>
      <color rgb="00FFFFFF"/>
      <sz val="14"/>
    </font>
    <font>
      <name val="Arial"/>
      <i val="1"/>
      <color rgb="00FFFFFF"/>
      <sz val="9"/>
    </font>
    <font>
      <name val="Arial"/>
      <b val="1"/>
      <color rgb="00FFFFFF"/>
      <sz val="11"/>
    </font>
    <font>
      <name val="Arial"/>
      <b val="1"/>
      <color rgb="001A1A1A"/>
      <sz val="10"/>
    </font>
    <font>
      <name val="Arial"/>
      <b val="1"/>
      <color rgb="000000FF"/>
      <sz val="10"/>
    </font>
    <font>
      <name val="Arial"/>
      <color rgb="000000FF"/>
      <sz val="10"/>
    </font>
    <font>
      <name val="Arial"/>
      <color rgb="001A1A1A"/>
      <sz val="10"/>
    </font>
    <font>
      <name val="Nirmala UI"/>
      <b val="1"/>
      <color rgb="001A1A1A"/>
      <sz val="10"/>
    </font>
    <font>
      <name val="Arial"/>
      <b val="1"/>
      <color rgb="00FFFFFF"/>
      <sz val="10"/>
    </font>
    <font>
      <name val="Arial"/>
      <i val="1"/>
      <color rgb="005A6672"/>
      <sz val="9"/>
    </font>
    <font>
      <name val="Arial"/>
      <b val="1"/>
      <color rgb="001A1A1A"/>
      <sz val="9"/>
    </font>
    <font>
      <name val="Arial"/>
      <b val="1"/>
      <color rgb="00FFFFFF"/>
      <sz val="8"/>
    </font>
    <font>
      <name val="Arial"/>
      <b val="1"/>
      <color rgb="001A1A1A"/>
      <sz val="11"/>
    </font>
    <font>
      <name val="Arial"/>
      <b val="1"/>
      <color rgb="001A1A1A"/>
      <sz val="12"/>
    </font>
    <font>
      <name val="Arial"/>
      <i val="1"/>
      <color rgb="001A1A1A"/>
      <sz val="9"/>
    </font>
    <font>
      <name val="Arial"/>
      <color rgb="001A1A1A"/>
      <sz val="9"/>
    </font>
    <font>
      <name val="Arial"/>
      <b val="1"/>
      <color rgb="00FFFFFF"/>
      <sz val="16"/>
    </font>
    <font>
      <name val="Arial"/>
      <i val="1"/>
      <color rgb="004A5A6A"/>
      <sz val="9"/>
    </font>
    <font>
      <name val="Arial"/>
      <b val="1"/>
      <color rgb="00FFFFFF"/>
      <sz val="9"/>
    </font>
    <font>
      <name val="Arial"/>
      <b val="1"/>
      <color rgb="00B3261E"/>
      <sz val="10"/>
    </font>
  </fonts>
  <fills count="9">
    <fill>
      <patternFill/>
    </fill>
    <fill>
      <patternFill patternType="gray125"/>
    </fill>
    <fill>
      <patternFill patternType="solid">
        <fgColor rgb="000F2438"/>
      </patternFill>
    </fill>
    <fill>
      <patternFill patternType="solid">
        <fgColor rgb="001B3A57"/>
      </patternFill>
    </fill>
    <fill>
      <patternFill patternType="solid">
        <fgColor rgb="002E4A63"/>
      </patternFill>
    </fill>
    <fill>
      <patternFill patternType="solid">
        <fgColor rgb="00F4F6F8"/>
      </patternFill>
    </fill>
    <fill>
      <patternFill patternType="solid">
        <fgColor rgb="00FFFF00"/>
      </patternFill>
    </fill>
    <fill>
      <patternFill patternType="solid">
        <fgColor rgb="00EAEEF2"/>
      </patternFill>
    </fill>
    <fill>
      <patternFill patternType="solid">
        <fgColor rgb="00C9A227"/>
      </patternFill>
    </fill>
  </fills>
  <borders count="9">
    <border>
      <left/>
      <right/>
      <top/>
      <bottom/>
      <diagonal/>
    </border>
    <border>
      <left style="thin">
        <color rgb="00C7D0D9"/>
      </left>
      <right style="thin">
        <color rgb="00C7D0D9"/>
      </right>
      <top style="thin">
        <color rgb="00C7D0D9"/>
      </top>
      <bottom style="thin">
        <color rgb="00C7D0D9"/>
      </bottom>
    </border>
    <border>
      <left/>
      <right/>
      <top style="thin">
        <color rgb="00C7D0D9"/>
      </top>
      <bottom/>
      <diagonal/>
    </border>
    <border>
      <left/>
      <right style="thin">
        <color rgb="00C7D0D9"/>
      </right>
      <top style="thin">
        <color rgb="00C7D0D9"/>
      </top>
      <bottom/>
      <diagonal/>
    </border>
    <border>
      <left/>
      <right/>
      <top style="thin">
        <color rgb="00C7D0D9"/>
      </top>
      <bottom style="thin">
        <color rgb="00C7D0D9"/>
      </bottom>
      <diagonal/>
    </border>
    <border>
      <left/>
      <right style="thin">
        <color rgb="00C7D0D9"/>
      </right>
      <top style="thin">
        <color rgb="00C7D0D9"/>
      </top>
      <bottom style="thin">
        <color rgb="00C7D0D9"/>
      </bottom>
      <diagonal/>
    </border>
    <border>
      <left style="thin">
        <color rgb="00C7D0D9"/>
      </left>
      <right/>
      <top/>
      <bottom/>
      <diagonal/>
    </border>
    <border>
      <left style="thin">
        <color rgb="00C7D0D9"/>
      </left>
      <right style="thin">
        <color rgb="00C7D0D9"/>
      </right>
      <top/>
      <bottom/>
      <diagonal/>
    </border>
    <border>
      <left style="thin">
        <color rgb="00C7D0D9"/>
      </left>
      <right style="thin">
        <color rgb="00C7D0D9"/>
      </right>
      <top/>
      <bottom style="thin">
        <color rgb="00C7D0D9"/>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7" fillId="0" borderId="0" applyAlignment="1" pivotButton="0" quotePrefix="0" xfId="0">
      <alignment horizontal="left" vertical="center" wrapText="1"/>
    </xf>
    <xf numFmtId="0" fontId="17" fillId="8" borderId="1" applyAlignment="1" pivotButton="0" quotePrefix="0" xfId="0">
      <alignment horizontal="center" vertical="center"/>
    </xf>
    <xf numFmtId="0" fontId="13" fillId="0" borderId="1" applyAlignment="1" pivotButton="0" quotePrefix="0" xfId="0">
      <alignment horizontal="left" vertical="center"/>
    </xf>
    <xf numFmtId="0" fontId="0" fillId="0" borderId="4" pivotButton="0" quotePrefix="0" xfId="0"/>
    <xf numFmtId="0" fontId="0" fillId="0" borderId="5" pivotButton="0" quotePrefix="0" xfId="0"/>
    <xf numFmtId="0" fontId="0" fillId="0" borderId="8" pivotButton="0" quotePrefix="0" xfId="0"/>
    <xf numFmtId="0" fontId="18" fillId="0" borderId="1" applyAlignment="1" pivotButton="0" quotePrefix="0" xfId="0">
      <alignment horizontal="left" vertical="center" wrapText="1"/>
    </xf>
    <xf numFmtId="0" fontId="19" fillId="4" borderId="1" applyAlignment="1" pivotButton="0" quotePrefix="0" xfId="0">
      <alignment horizontal="left" vertical="center"/>
    </xf>
    <xf numFmtId="0" fontId="11" fillId="5" borderId="1" applyAlignment="1" pivotButton="0" quotePrefix="0" xfId="0">
      <alignment horizontal="left" vertical="center"/>
    </xf>
    <xf numFmtId="0" fontId="16" fillId="0" borderId="1" applyAlignment="1" pivotButton="0" quotePrefix="0" xfId="0">
      <alignment horizontal="left" vertical="center" wrapText="1"/>
    </xf>
    <xf numFmtId="0" fontId="11" fillId="7" borderId="1" applyAlignment="1" pivotButton="0" quotePrefix="0" xfId="0">
      <alignment horizontal="left" vertical="center"/>
    </xf>
    <xf numFmtId="0" fontId="16" fillId="0" borderId="1" applyAlignment="1" pivotButton="0" quotePrefix="0" xfId="0">
      <alignment horizontal="left" vertical="center"/>
    </xf>
    <xf numFmtId="0" fontId="20" fillId="0" borderId="1" applyAlignment="1" pivotButton="0" quotePrefix="0" xfId="0">
      <alignment horizontal="left" vertical="center" wrapText="1"/>
    </xf>
    <xf numFmtId="0" fontId="7" fillId="5" borderId="1" applyAlignment="1" pivotButton="0" quotePrefix="0" xfId="0">
      <alignment horizontal="left" vertical="center" wrapText="1"/>
    </xf>
    <xf numFmtId="0" fontId="12" fillId="2" borderId="0" applyAlignment="1" pivotButton="0" quotePrefix="0" xfId="0">
      <alignment horizontal="center" vertical="center"/>
    </xf>
    <xf numFmtId="0" fontId="4" fillId="5" borderId="1" applyAlignment="1" pivotButton="0" quotePrefix="0" xfId="0">
      <alignment horizontal="left" vertical="center"/>
    </xf>
    <xf numFmtId="0" fontId="5" fillId="6" borderId="1" applyAlignment="1" pivotButton="0" quotePrefix="0" xfId="0">
      <alignment horizontal="center" vertical="center"/>
    </xf>
    <xf numFmtId="0" fontId="8" fillId="7" borderId="1" applyAlignment="1" pivotButton="0" quotePrefix="0" xfId="0">
      <alignment horizontal="center" vertical="center"/>
    </xf>
    <xf numFmtId="0" fontId="7" fillId="7" borderId="1" applyAlignment="1" pivotButton="0" quotePrefix="0" xfId="0">
      <alignment horizontal="center" vertical="center"/>
    </xf>
    <xf numFmtId="0" fontId="6" fillId="6" borderId="1" applyAlignment="1" pivotButton="0" quotePrefix="0" xfId="0">
      <alignment horizontal="center" vertical="center"/>
    </xf>
    <xf numFmtId="0" fontId="9" fillId="4" borderId="1" applyAlignment="1" pivotButton="0" quotePrefix="0" xfId="0">
      <alignment horizontal="center" vertical="center"/>
    </xf>
    <xf numFmtId="0" fontId="7" fillId="5" borderId="1" applyAlignment="1" pivotButton="0" quotePrefix="0" xfId="0">
      <alignment horizontal="left" vertical="center"/>
    </xf>
    <xf numFmtId="164" fontId="6" fillId="6" borderId="1" applyAlignment="1" pivotButton="0" quotePrefix="0" xfId="0">
      <alignment horizontal="right" vertical="center"/>
    </xf>
    <xf numFmtId="0" fontId="19" fillId="8" borderId="1" applyAlignment="1" pivotButton="0" quotePrefix="0" xfId="0">
      <alignment horizontal="center" vertical="center"/>
    </xf>
    <xf numFmtId="0" fontId="10" fillId="0" borderId="1" applyAlignment="1" pivotButton="0" quotePrefix="0" xfId="0">
      <alignment horizontal="left" vertical="center" wrapText="1"/>
    </xf>
    <xf numFmtId="0" fontId="4" fillId="7" borderId="1" applyAlignment="1" pivotButton="0" quotePrefix="0" xfId="0">
      <alignment horizontal="left" vertical="center"/>
    </xf>
    <xf numFmtId="164" fontId="4" fillId="7" borderId="1" applyAlignment="1" pivotButton="0" quotePrefix="0" xfId="0">
      <alignment horizontal="right"/>
    </xf>
    <xf numFmtId="3" fontId="6" fillId="6" borderId="1" applyAlignment="1" pivotButton="0" quotePrefix="0" xfId="0">
      <alignment horizontal="right" vertical="center"/>
    </xf>
    <xf numFmtId="1" fontId="6" fillId="6" borderId="1" applyAlignment="1" pivotButton="0" quotePrefix="0" xfId="0">
      <alignment horizontal="right" vertical="center"/>
    </xf>
    <xf numFmtId="0" fontId="11" fillId="7" borderId="1" applyAlignment="1" pivotButton="0" quotePrefix="0" xfId="0">
      <alignment horizontal="left" vertical="center" wrapText="1"/>
    </xf>
    <xf numFmtId="0" fontId="8" fillId="7" borderId="0" applyAlignment="1" pivotButton="0" quotePrefix="0" xfId="0">
      <alignment horizontal="left" vertical="center"/>
    </xf>
    <xf numFmtId="0" fontId="4" fillId="7" borderId="0" applyAlignment="1" pivotButton="0" quotePrefix="0" xfId="0">
      <alignment horizontal="left" vertical="center"/>
    </xf>
    <xf numFmtId="164" fontId="13" fillId="0" borderId="1" applyAlignment="1" pivotButton="0" quotePrefix="0" xfId="0">
      <alignment horizontal="right" vertical="center"/>
    </xf>
    <xf numFmtId="0" fontId="4" fillId="0" borderId="1" applyAlignment="1" pivotButton="0" quotePrefix="0" xfId="0">
      <alignment horizontal="center" vertical="center"/>
    </xf>
    <xf numFmtId="4" fontId="4" fillId="0" borderId="1" applyAlignment="1" pivotButton="0" quotePrefix="0" xfId="0">
      <alignment horizontal="right" vertical="center"/>
    </xf>
    <xf numFmtId="165" fontId="4" fillId="0" borderId="1" applyAlignment="1" pivotButton="0" quotePrefix="0" xfId="0">
      <alignment horizontal="right" vertical="center"/>
    </xf>
    <xf numFmtId="166" fontId="4" fillId="0" borderId="1" applyAlignment="1" pivotButton="0" quotePrefix="0" xfId="0">
      <alignment horizontal="right" vertical="center"/>
    </xf>
    <xf numFmtId="165" fontId="13" fillId="0" borderId="1" applyAlignment="1" pivotButton="0" quotePrefix="0" xfId="0">
      <alignment horizontal="right" vertical="center"/>
    </xf>
    <xf numFmtId="164" fontId="4" fillId="0" borderId="1" applyAlignment="1" pivotButton="0" quotePrefix="0" xfId="0">
      <alignment horizontal="right" vertical="center"/>
    </xf>
    <xf numFmtId="2" fontId="4" fillId="0" borderId="1" applyAlignment="1" pivotButton="0" quotePrefix="0" xfId="0">
      <alignment horizontal="right" vertical="center"/>
    </xf>
    <xf numFmtId="167" fontId="4" fillId="0" borderId="1" applyAlignment="1" pivotButton="0" quotePrefix="0" xfId="0">
      <alignment horizontal="right" vertical="center"/>
    </xf>
    <xf numFmtId="3" fontId="4" fillId="0" borderId="1" applyAlignment="1" pivotButton="0" quotePrefix="0" xfId="0">
      <alignment horizontal="right" vertical="center"/>
    </xf>
    <xf numFmtId="0" fontId="14" fillId="7" borderId="1" applyAlignment="1" pivotButton="0" quotePrefix="0" xfId="0">
      <alignment horizontal="center" vertical="center" wrapText="1"/>
    </xf>
    <xf numFmtId="165" fontId="6" fillId="6" borderId="1" applyAlignment="1" pivotButton="0" quotePrefix="0" xfId="0">
      <alignment horizontal="center" vertical="center"/>
    </xf>
    <xf numFmtId="164" fontId="7" fillId="0" borderId="1" applyAlignment="1" pivotButton="0" quotePrefix="0" xfId="0">
      <alignment horizontal="right" vertical="center"/>
    </xf>
    <xf numFmtId="165" fontId="7" fillId="0" borderId="1" applyAlignment="1" pivotButton="0" quotePrefix="0" xfId="0">
      <alignment horizontal="right" vertical="center"/>
    </xf>
    <xf numFmtId="164" fontId="4" fillId="0" borderId="1" applyAlignment="1" pivotButton="0" quotePrefix="0" xfId="0">
      <alignment horizontal="center" vertical="center"/>
    </xf>
    <xf numFmtId="9" fontId="4" fillId="5" borderId="1" applyAlignment="1" pivotButton="0" quotePrefix="0" xfId="0">
      <alignment horizontal="center" vertical="center"/>
    </xf>
    <xf numFmtId="165" fontId="4" fillId="0" borderId="1" applyAlignment="1" pivotButton="0" quotePrefix="0" xfId="0">
      <alignment horizontal="center" vertical="center"/>
    </xf>
    <xf numFmtId="0" fontId="7" fillId="0" borderId="1" applyAlignment="1" pivotButton="0" quotePrefix="0" xfId="0">
      <alignment horizontal="left" vertical="center"/>
    </xf>
    <xf numFmtId="0" fontId="4" fillId="0" borderId="1" applyAlignment="1" pivotButton="0" quotePrefix="0" xfId="0">
      <alignment horizontal="left" vertical="center"/>
    </xf>
    <xf numFmtId="164" fontId="7" fillId="7" borderId="1" applyAlignment="1" pivotButton="0" quotePrefix="0" xfId="0">
      <alignment horizontal="right" vertical="center"/>
    </xf>
    <xf numFmtId="165" fontId="7" fillId="5" borderId="1" applyAlignment="1" pivotButton="0" quotePrefix="0" xfId="0">
      <alignment horizontal="right" vertical="center"/>
    </xf>
    <xf numFmtId="0" fontId="15" fillId="0" borderId="0" applyAlignment="1" pivotButton="0" quotePrefix="0" xfId="0">
      <alignment horizontal="left" vertical="center"/>
    </xf>
    <xf numFmtId="0" fontId="7" fillId="0" borderId="1" applyAlignment="1" pivotButton="0" quotePrefix="0" xfId="0">
      <alignment horizontal="left" vertical="center" wrapText="1"/>
    </xf>
  </cellXfs>
  <cellStyles count="1">
    <cellStyle name="Normal" xfId="0" builtinId="0" hidden="0"/>
  </cellStyles>
  <dxfs count="3">
    <dxf>
      <font>
        <name val="Arial"/>
        <b val="1"/>
        <color rgb="00FFFFFF"/>
      </font>
      <fill>
        <patternFill>
          <bgColor rgb="00B3261E"/>
        </patternFill>
      </fill>
    </dxf>
    <dxf>
      <font>
        <name val="Arial"/>
        <b val="1"/>
        <color rgb="00FFFFFF"/>
      </font>
      <fill>
        <patternFill>
          <bgColor rgb="001E7B45"/>
        </patternFill>
      </fill>
    </dxf>
    <dxf>
      <font>
        <name val="Arial"/>
        <b val="1"/>
        <color rgb="00B3261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Profit Waterfall</a:t>
            </a:r>
          </a:p>
        </rich>
      </tx>
    </title>
    <plotArea>
      <barChart>
        <barDir val="col"/>
        <grouping val="clustered"/>
        <ser>
          <idx val="0"/>
          <order val="0"/>
          <spPr>
            <a:ln xmlns:a="http://schemas.openxmlformats.org/drawingml/2006/main">
              <a:prstDash val="solid"/>
            </a:ln>
          </spPr>
          <cat>
            <numRef>
              <f>'2. Dashboard'!$A$7:$A$12</f>
            </numRef>
          </cat>
          <val>
            <numRef>
              <f>'2. Dashboard'!$B$7:$B$12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2"/>
  <chart>
    <plotArea>
      <lineChart>
        <grouping val="standard"/>
        <ser>
          <idx val="0"/>
          <order val="0"/>
          <tx>
            <strRef>
              <f>'4. Trend'!A5</f>
            </strRef>
          </tx>
          <spPr>
            <a:ln xmlns:a="http://schemas.openxmlformats.org/drawingml/2006/main">
              <a:prstDash val="solid"/>
            </a:ln>
          </spPr>
          <marker>
            <symbol val="none"/>
            <spPr>
              <a:ln xmlns:a="http://schemas.openxmlformats.org/drawingml/2006/main">
                <a:prstDash val="solid"/>
              </a:ln>
            </spPr>
          </marker>
          <cat>
            <numRef>
              <f>'4. Trend'!$B$4:$M$4</f>
            </numRef>
          </cat>
          <val>
            <numRef>
              <f>'4. Trend'!$B$5:$M$5</f>
            </numRef>
          </val>
        </ser>
        <ser>
          <idx val="1"/>
          <order val="1"/>
          <tx>
            <strRef>
              <f>'4. Trend'!A13</f>
            </strRef>
          </tx>
          <spPr>
            <a:ln xmlns:a="http://schemas.openxmlformats.org/drawingml/2006/main">
              <a:prstDash val="solid"/>
            </a:ln>
          </spPr>
          <marker>
            <symbol val="none"/>
            <spPr>
              <a:ln xmlns:a="http://schemas.openxmlformats.org/drawingml/2006/main">
                <a:prstDash val="solid"/>
              </a:ln>
            </spPr>
          </marker>
          <cat>
            <numRef>
              <f>'4. Trend'!$B$4:$M$4</f>
            </numRef>
          </cat>
          <val>
            <numRef>
              <f>'4. Trend'!$B$13:$M$13</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Md Kamrul Hasan</author>
  </authors>
  <commentList>
    <comment ref="B5" authorId="0" shapeId="0">
      <text>
        <t>Change this to switch every currency symbol in the workbook.
Md Kamrul Hasan · MKH-EBIC-2.2.2</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36</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18</row>
      <rowOff>0</rowOff>
    </from>
    <ext cx="93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C9A227"/>
    <outlinePr summaryBelow="1" summaryRight="1"/>
    <pageSetUpPr fitToPage="1"/>
  </sheetPr>
  <dimension ref="A1:H39"/>
  <sheetViews>
    <sheetView showGridLines="0" workbookViewId="0">
      <selection activeCell="A1" sqref="A1"/>
    </sheetView>
  </sheetViews>
  <sheetFormatPr baseColWidth="8" defaultRowHeight="15"/>
  <cols>
    <col width="26" customWidth="1" min="1" max="1"/>
    <col width="16" customWidth="1" min="2" max="2"/>
    <col width="14" customWidth="1" min="3" max="3"/>
    <col width="14" customWidth="1" min="4" max="4"/>
    <col width="14" customWidth="1" min="5" max="5"/>
    <col width="16" customWidth="1" min="6" max="6"/>
    <col width="14" customWidth="1" min="7" max="7"/>
    <col width="14" customWidth="1" min="8" max="8"/>
  </cols>
  <sheetData>
    <row r="1" ht="30" customHeight="1">
      <c r="A1" s="1" t="inlineStr">
        <is>
          <t>START HERE</t>
        </is>
      </c>
    </row>
    <row r="2" ht="18" customHeight="1">
      <c r="A2" s="2" t="inlineStr">
        <is>
          <t>You do not need to understand accounting to use this. Fill eight numbers and read the verdict.</t>
        </is>
      </c>
    </row>
    <row r="4" ht="22" customHeight="1">
      <c r="A4" s="3" t="inlineStr">
        <is>
          <t>WHAT THIS IS</t>
        </is>
      </c>
    </row>
    <row r="5" ht="46" customHeight="1">
      <c r="A5" s="4" t="inlineStr">
        <is>
          <t>A CFO in a spreadsheet. You type what your business earned and spent. It tells you whether you are making money, whether each order makes money, how long your cash lasts, and what to fix first.</t>
        </is>
      </c>
      <c r="B5" s="4" t="n"/>
      <c r="C5" s="4" t="n"/>
      <c r="D5" s="4" t="n"/>
      <c r="E5" s="4" t="n"/>
      <c r="F5" s="4" t="n"/>
      <c r="G5" s="4" t="n"/>
      <c r="H5" s="4" t="n"/>
    </row>
    <row r="7" ht="22" customHeight="1">
      <c r="A7" s="3" t="inlineStr">
        <is>
          <t>THREE STEPS</t>
        </is>
      </c>
    </row>
    <row r="8">
      <c r="A8" s="5" t="inlineStr">
        <is>
          <t>1</t>
        </is>
      </c>
      <c r="B8" s="6" t="inlineStr">
        <is>
          <t>Go to the sheet '1. Setup'. Type over the YELLOW cells only.</t>
        </is>
      </c>
      <c r="C8" s="7" t="n"/>
      <c r="D8" s="7" t="n"/>
      <c r="E8" s="7" t="n"/>
      <c r="F8" s="7" t="n"/>
      <c r="G8" s="7" t="n"/>
      <c r="H8" s="8" t="n"/>
    </row>
    <row r="9" ht="26" customHeight="1">
      <c r="A9" s="9" t="n"/>
      <c r="B9" s="10" t="inlineStr">
        <is>
          <t>Everything that is not yellow calculates itself. You cannot break it by typing in yellow.</t>
        </is>
      </c>
      <c r="C9" s="7" t="n"/>
      <c r="D9" s="7" t="n"/>
      <c r="E9" s="7" t="n"/>
      <c r="F9" s="7" t="n"/>
      <c r="G9" s="7" t="n"/>
      <c r="H9" s="8" t="n"/>
    </row>
    <row r="10">
      <c r="A10" s="5" t="inlineStr">
        <is>
          <t>2</t>
        </is>
      </c>
      <c r="B10" s="6" t="inlineStr">
        <is>
          <t>Start with the eight numbers marked START HERE in column C.</t>
        </is>
      </c>
      <c r="C10" s="7" t="n"/>
      <c r="D10" s="7" t="n"/>
      <c r="E10" s="7" t="n"/>
      <c r="F10" s="7" t="n"/>
      <c r="G10" s="7" t="n"/>
      <c r="H10" s="8" t="n"/>
    </row>
    <row r="11" ht="26" customHeight="1">
      <c r="A11" s="9" t="n"/>
      <c r="B11" s="10" t="inlineStr">
        <is>
          <t>The other rows are already filled with example numbers. Replace them as you find them; the dashboard works before you finish.</t>
        </is>
      </c>
      <c r="C11" s="7" t="n"/>
      <c r="D11" s="7" t="n"/>
      <c r="E11" s="7" t="n"/>
      <c r="F11" s="7" t="n"/>
      <c r="G11" s="7" t="n"/>
      <c r="H11" s="8" t="n"/>
    </row>
    <row r="12">
      <c r="A12" s="5" t="inlineStr">
        <is>
          <t>3</t>
        </is>
      </c>
      <c r="B12" s="6" t="inlineStr">
        <is>
          <t>Read '2. Dashboard' from the top.</t>
        </is>
      </c>
      <c r="C12" s="7" t="n"/>
      <c r="D12" s="7" t="n"/>
      <c r="E12" s="7" t="n"/>
      <c r="F12" s="7" t="n"/>
      <c r="G12" s="7" t="n"/>
      <c r="H12" s="8" t="n"/>
    </row>
    <row r="13" ht="26" customHeight="1">
      <c r="A13" s="9" t="n"/>
      <c r="B13" s="10" t="inlineStr">
        <is>
          <t>The coloured banner names your single biggest problem in one sentence.</t>
        </is>
      </c>
      <c r="C13" s="7" t="n"/>
      <c r="D13" s="7" t="n"/>
      <c r="E13" s="7" t="n"/>
      <c r="F13" s="7" t="n"/>
      <c r="G13" s="7" t="n"/>
      <c r="H13" s="8" t="n"/>
    </row>
    <row r="15" ht="22" customHeight="1">
      <c r="A15" s="3" t="inlineStr">
        <is>
          <t>THE EIGHT NUMBERS YOU REALLY NEED</t>
        </is>
      </c>
    </row>
    <row r="16">
      <c r="A16" s="11" t="inlineStr">
        <is>
          <t>On '1. Setup'</t>
        </is>
      </c>
      <c r="B16" s="11" t="inlineStr">
        <is>
          <t>What it means in plain words</t>
        </is>
      </c>
      <c r="C16" s="7" t="n"/>
      <c r="D16" s="7" t="n"/>
      <c r="E16" s="8" t="n"/>
      <c r="F16" s="11" t="inlineStr">
        <is>
          <t>Where to find it</t>
        </is>
      </c>
      <c r="G16" s="7" t="n"/>
      <c r="H16" s="8" t="n"/>
    </row>
    <row r="17" ht="26" customHeight="1">
      <c r="A17" s="12" t="inlineStr">
        <is>
          <t>Gross Revenue</t>
        </is>
      </c>
      <c r="B17" s="13" t="inlineStr">
        <is>
          <t>Everything customers paid you, before refunds.</t>
        </is>
      </c>
      <c r="C17" s="13" t="n"/>
      <c r="D17" s="13" t="n"/>
      <c r="E17" s="13" t="n"/>
      <c r="F17" s="10" t="inlineStr">
        <is>
          <t>Your sales report or bank deposits</t>
        </is>
      </c>
      <c r="G17" s="10" t="n"/>
      <c r="H17" s="10" t="n"/>
    </row>
    <row r="18" ht="26" customHeight="1">
      <c r="A18" s="12" t="inlineStr">
        <is>
          <t>Product / Material (LANDED)</t>
        </is>
      </c>
      <c r="B18" s="13" t="inlineStr">
        <is>
          <t>What the goods cost you delivered to your door - price plus freight plus duty, not the invoice alone.</t>
        </is>
      </c>
      <c r="C18" s="13" t="n"/>
      <c r="D18" s="13" t="n"/>
      <c r="E18" s="13" t="n"/>
      <c r="F18" s="10" t="inlineStr">
        <is>
          <t>Supplier invoices plus shipping and customs</t>
        </is>
      </c>
      <c r="G18" s="10" t="n"/>
      <c r="H18" s="10" t="n"/>
    </row>
    <row r="19" ht="26" customHeight="1">
      <c r="A19" s="12" t="inlineStr">
        <is>
          <t>Outbound Shipping</t>
        </is>
      </c>
      <c r="B19" s="13" t="inlineStr">
        <is>
          <t>Courier cost you actually pay, after what the customer covers.</t>
        </is>
      </c>
      <c r="C19" s="13" t="n"/>
      <c r="D19" s="13" t="n"/>
      <c r="E19" s="13" t="n"/>
      <c r="F19" s="10" t="inlineStr">
        <is>
          <t>Courier bill</t>
        </is>
      </c>
      <c r="G19" s="10" t="n"/>
      <c r="H19" s="10" t="n"/>
    </row>
    <row r="20" ht="26" customHeight="1">
      <c r="A20" s="12" t="inlineStr">
        <is>
          <t>Advertising Spend</t>
        </is>
      </c>
      <c r="B20" s="13" t="inlineStr">
        <is>
          <t>Every platform added together.</t>
        </is>
      </c>
      <c r="C20" s="13" t="n"/>
      <c r="D20" s="13" t="n"/>
      <c r="E20" s="13" t="n"/>
      <c r="F20" s="10" t="inlineStr">
        <is>
          <t>Meta, Google, TikTok billing</t>
        </is>
      </c>
      <c r="G20" s="10" t="n"/>
      <c r="H20" s="10" t="n"/>
    </row>
    <row r="21" ht="26" customHeight="1">
      <c r="A21" s="12" t="inlineStr">
        <is>
          <t>Salaries (non-production)</t>
        </is>
      </c>
      <c r="B21" s="13" t="inlineStr">
        <is>
          <t>People who are paid whether or not you sell anything.</t>
        </is>
      </c>
      <c r="C21" s="13" t="n"/>
      <c r="D21" s="13" t="n"/>
      <c r="E21" s="13" t="n"/>
      <c r="F21" s="10" t="inlineStr">
        <is>
          <t>Payroll</t>
        </is>
      </c>
      <c r="G21" s="10" t="n"/>
      <c r="H21" s="10" t="n"/>
    </row>
    <row r="22" ht="26" customHeight="1">
      <c r="A22" s="12" t="inlineStr">
        <is>
          <t>Rent</t>
        </is>
      </c>
      <c r="B22" s="13" t="inlineStr">
        <is>
          <t>Shop, office or warehouse.</t>
        </is>
      </c>
      <c r="C22" s="13" t="n"/>
      <c r="D22" s="13" t="n"/>
      <c r="E22" s="13" t="n"/>
      <c r="F22" s="10" t="inlineStr">
        <is>
          <t>Rent receipt</t>
        </is>
      </c>
      <c r="G22" s="10" t="n"/>
      <c r="H22" s="10" t="n"/>
    </row>
    <row r="23" ht="26" customHeight="1">
      <c r="A23" s="12" t="inlineStr">
        <is>
          <t>Number of Orders</t>
        </is>
      </c>
      <c r="B23" s="13" t="inlineStr">
        <is>
          <t>How many orders in the period. This turns totals into per-order economics.</t>
        </is>
      </c>
      <c r="C23" s="13" t="n"/>
      <c r="D23" s="13" t="n"/>
      <c r="E23" s="13" t="n"/>
      <c r="F23" s="10" t="inlineStr">
        <is>
          <t>Order dashboard</t>
        </is>
      </c>
      <c r="G23" s="10" t="n"/>
      <c r="H23" s="10" t="n"/>
    </row>
    <row r="24" ht="26" customHeight="1">
      <c r="A24" s="12" t="inlineStr">
        <is>
          <t>Cash &amp; Bank (closing)</t>
        </is>
      </c>
      <c r="B24" s="13" t="inlineStr">
        <is>
          <t>What is actually in the bank on the last day.</t>
        </is>
      </c>
      <c r="C24" s="13" t="n"/>
      <c r="D24" s="13" t="n"/>
      <c r="E24" s="13" t="n"/>
      <c r="F24" s="10" t="inlineStr">
        <is>
          <t>Bank statement</t>
        </is>
      </c>
      <c r="G24" s="10" t="n"/>
      <c r="H24" s="10" t="n"/>
    </row>
    <row r="26" ht="22" customHeight="1">
      <c r="A26" s="3" t="inlineStr">
        <is>
          <t>WHAT EACH SHEET DOES</t>
        </is>
      </c>
    </row>
    <row r="27">
      <c r="A27" s="14" t="inlineStr">
        <is>
          <t>1. Setup</t>
        </is>
      </c>
      <c r="B27" s="15" t="inlineStr">
        <is>
          <t>Where you type. Yellow cells only.</t>
        </is>
      </c>
      <c r="C27" s="15" t="n"/>
      <c r="D27" s="15" t="n"/>
      <c r="E27" s="15" t="n"/>
      <c r="F27" s="15" t="n"/>
      <c r="G27" s="15" t="n"/>
      <c r="H27" s="15" t="n"/>
    </row>
    <row r="28">
      <c r="A28" s="14" t="inlineStr">
        <is>
          <t>2. Dashboard</t>
        </is>
      </c>
      <c r="B28" s="15" t="inlineStr">
        <is>
          <t>The answer. Profit, unit economics, cash, runway, verdict.</t>
        </is>
      </c>
      <c r="C28" s="15" t="n"/>
      <c r="D28" s="15" t="n"/>
      <c r="E28" s="15" t="n"/>
      <c r="F28" s="15" t="n"/>
      <c r="G28" s="15" t="n"/>
      <c r="H28" s="15" t="n"/>
    </row>
    <row r="29">
      <c r="A29" s="14" t="inlineStr">
        <is>
          <t>3. Scenarios</t>
        </is>
      </c>
      <c r="B29" s="15" t="inlineStr">
        <is>
          <t>What if sales fall 25%? What if ads get cheaper?</t>
        </is>
      </c>
      <c r="C29" s="15" t="n"/>
      <c r="D29" s="15" t="n"/>
      <c r="E29" s="15" t="n"/>
      <c r="F29" s="15" t="n"/>
      <c r="G29" s="15" t="n"/>
      <c r="H29" s="15" t="n"/>
    </row>
    <row r="30">
      <c r="A30" s="14" t="inlineStr">
        <is>
          <t>4. Trend</t>
        </is>
      </c>
      <c r="B30" s="15" t="inlineStr">
        <is>
          <t>Twelve months side by side. Is it getting better or worse?</t>
        </is>
      </c>
      <c r="C30" s="15" t="n"/>
      <c r="D30" s="15" t="n"/>
      <c r="E30" s="15" t="n"/>
      <c r="F30" s="15" t="n"/>
      <c r="G30" s="15" t="n"/>
      <c r="H30" s="15" t="n"/>
    </row>
    <row r="31">
      <c r="A31" s="14" t="inlineStr">
        <is>
          <t>Ref</t>
        </is>
      </c>
      <c r="B31" s="15" t="inlineStr">
        <is>
          <t>The 34-currency table. You do not need to touch it.</t>
        </is>
      </c>
      <c r="C31" s="15" t="n"/>
      <c r="D31" s="15" t="n"/>
      <c r="E31" s="15" t="n"/>
      <c r="F31" s="15" t="n"/>
      <c r="G31" s="15" t="n"/>
      <c r="H31" s="15" t="n"/>
    </row>
    <row r="32">
      <c r="A32" s="14" t="inlineStr">
        <is>
          <t>Signature</t>
        </is>
      </c>
      <c r="B32" s="15" t="inlineStr">
        <is>
          <t>Who built this. Locked.</t>
        </is>
      </c>
      <c r="C32" s="15" t="n"/>
      <c r="D32" s="15" t="n"/>
      <c r="E32" s="15" t="n"/>
      <c r="F32" s="15" t="n"/>
      <c r="G32" s="15" t="n"/>
      <c r="H32" s="15" t="n"/>
    </row>
    <row r="34" ht="22" customHeight="1">
      <c r="A34" s="3" t="inlineStr">
        <is>
          <t>READ THIS BEFORE YOU TRUST THE NUMBER</t>
        </is>
      </c>
    </row>
    <row r="35" ht="44" customHeight="1">
      <c r="A35" s="16" t="inlineStr">
        <is>
          <t>Profit is not cash. You can show a profit here and still have an empty bank account, because loan principal, owner drawings and stock purchases spend cash without appearing as costs. If the profit line and your bank balance disagree, believe the bank.</t>
        </is>
      </c>
      <c r="B35" s="7" t="n"/>
      <c r="C35" s="7" t="n"/>
      <c r="D35" s="7" t="n"/>
      <c r="E35" s="7" t="n"/>
      <c r="F35" s="7" t="n"/>
      <c r="G35" s="7" t="n"/>
      <c r="H35" s="8" t="n"/>
    </row>
    <row r="37" ht="34" customHeight="1">
      <c r="A37" s="17" t="inlineStr">
        <is>
          <t>বাংলা:  শুধু হলুদ ঘরগুলোতে আপনার সংখ্যা লিখুন। বাকি সব নিজে হিসাব হয়ে যাবে। '২. Dashboard' শীটে গিয়ে উপরের রঙিন লাইনটা পড়ুন — ওখানে আপনার সবচেয়ে বড় সমস্যাটা এক লাইনে লেখা থাকবে।</t>
        </is>
      </c>
      <c r="B37" s="7" t="n"/>
      <c r="C37" s="7" t="n"/>
      <c r="D37" s="7" t="n"/>
      <c r="E37" s="7" t="n"/>
      <c r="F37" s="7" t="n"/>
      <c r="G37" s="7" t="n"/>
      <c r="H37" s="8" t="n"/>
    </row>
    <row r="39" ht="20" customHeight="1">
      <c r="A39" s="18" t="inlineStr">
        <is>
          <t>◆ Md Kamrul Hasan  ·  https://github.com/Kamrul5242  ·  Digital Signature MKH-EBIC-2.2.2  ·  Attribution required under MIT License</t>
        </is>
      </c>
    </row>
  </sheetData>
  <mergeCells count="44">
    <mergeCell ref="F20:H20"/>
    <mergeCell ref="A39:H39"/>
    <mergeCell ref="B9:H9"/>
    <mergeCell ref="A15:H15"/>
    <mergeCell ref="F18:H18"/>
    <mergeCell ref="B30:H30"/>
    <mergeCell ref="F17:H17"/>
    <mergeCell ref="B24:E24"/>
    <mergeCell ref="A1:H1"/>
    <mergeCell ref="B20:E20"/>
    <mergeCell ref="F23:H23"/>
    <mergeCell ref="B32:H32"/>
    <mergeCell ref="F22:H22"/>
    <mergeCell ref="A7:H7"/>
    <mergeCell ref="A12:A13"/>
    <mergeCell ref="B16:E16"/>
    <mergeCell ref="A37:H37"/>
    <mergeCell ref="B22:E22"/>
    <mergeCell ref="B31:H31"/>
    <mergeCell ref="B18:E18"/>
    <mergeCell ref="A8:A9"/>
    <mergeCell ref="A26:H26"/>
    <mergeCell ref="B27:H27"/>
    <mergeCell ref="A2:H2"/>
    <mergeCell ref="B12:H12"/>
    <mergeCell ref="B21:E21"/>
    <mergeCell ref="A5:H5"/>
    <mergeCell ref="A10:A11"/>
    <mergeCell ref="B11:H11"/>
    <mergeCell ref="A4:H4"/>
    <mergeCell ref="B8:H8"/>
    <mergeCell ref="F16:H16"/>
    <mergeCell ref="B17:E17"/>
    <mergeCell ref="B23:E23"/>
    <mergeCell ref="F19:H19"/>
    <mergeCell ref="B28:H28"/>
    <mergeCell ref="B13:H13"/>
    <mergeCell ref="A35:H35"/>
    <mergeCell ref="B29:H29"/>
    <mergeCell ref="B10:H10"/>
    <mergeCell ref="B19:E19"/>
    <mergeCell ref="F21:H21"/>
    <mergeCell ref="F24:H24"/>
    <mergeCell ref="A34:H34"/>
  </mergeCells>
  <pageMargins left="0.2" right="0.2" top="0.2" bottom="0.2" header="0" footer="0"/>
  <pageSetup orientation="landscape" fitToHeight="1" fitToWidth="1"/>
</worksheet>
</file>

<file path=xl/worksheets/sheet2.xml><?xml version="1.0" encoding="utf-8"?>
<worksheet xmlns="http://schemas.openxmlformats.org/spreadsheetml/2006/main">
  <sheetPr>
    <tabColor rgb="001E7B45"/>
    <outlinePr summaryBelow="1" summaryRight="1"/>
    <pageSetUpPr fitToPage="1"/>
  </sheetPr>
  <dimension ref="A1:H70"/>
  <sheetViews>
    <sheetView showGridLines="0" workbookViewId="0">
      <pane ySplit="3" topLeftCell="A4" activePane="bottomLeft" state="frozen"/>
      <selection pane="bottomLeft" activeCell="A1" sqref="A1"/>
    </sheetView>
  </sheetViews>
  <sheetFormatPr baseColWidth="8" defaultRowHeight="15"/>
  <cols>
    <col width="34" customWidth="1" min="1" max="1"/>
    <col width="18" customWidth="1" min="2" max="2"/>
    <col width="16" customWidth="1" min="3" max="3"/>
    <col width="16" customWidth="1" min="4" max="4"/>
    <col width="16" customWidth="1" min="5" max="5"/>
    <col width="16" customWidth="1" min="6" max="6"/>
    <col width="16" customWidth="1" min="7" max="7"/>
    <col width="22" customWidth="1" min="8" max="8"/>
  </cols>
  <sheetData>
    <row r="1" ht="30" customHeight="1">
      <c r="A1" s="1" t="inlineStr">
        <is>
          <t>CFO DASHBOARD  ·  SETUP &amp; INPUTS</t>
        </is>
      </c>
    </row>
    <row r="2" ht="18" customHeight="1">
      <c r="A2" s="2" t="inlineStr">
        <is>
          <t>Fill ONLY the yellow cells. Everything else calculates automatically.</t>
        </is>
      </c>
    </row>
    <row r="4" ht="22" customHeight="1">
      <c r="A4" s="3" t="inlineStr">
        <is>
          <t>CURRENCY</t>
        </is>
      </c>
    </row>
    <row r="5">
      <c r="A5" s="19" t="inlineStr">
        <is>
          <t>Select currency</t>
        </is>
      </c>
      <c r="B5" s="20" t="inlineStr">
        <is>
          <t>BDT</t>
        </is>
      </c>
    </row>
    <row r="6">
      <c r="A6" s="19" t="inlineStr">
        <is>
          <t>Symbol (auto)</t>
        </is>
      </c>
      <c r="B6" s="21">
        <f>IFERROR(INDEX(Ref!$B$2:$B$35,MATCH($B$5,Ref!$A$2:$A$35,0)),"?")</f>
        <v/>
      </c>
    </row>
    <row r="7">
      <c r="A7" s="19" t="inlineStr">
        <is>
          <t>Currency name (auto)</t>
        </is>
      </c>
      <c r="B7" s="22">
        <f>IFERROR(INDEX(Ref!$C$2:$C$35,MATCH($B$5,Ref!$A$2:$A$35,0)),"Unknown")</f>
        <v/>
      </c>
    </row>
    <row r="8">
      <c r="A8" s="19" t="inlineStr">
        <is>
          <t>Reporting period</t>
        </is>
      </c>
      <c r="B8" s="23" t="inlineStr">
        <is>
          <t>2026-03 (monthly)</t>
        </is>
      </c>
    </row>
    <row r="10" ht="22" customHeight="1">
      <c r="A10" s="3" t="inlineStr">
        <is>
          <t>INCOME  ·  enter your numbers</t>
        </is>
      </c>
    </row>
    <row r="11">
      <c r="A11" s="24" t="inlineStr">
        <is>
          <t>Line item</t>
        </is>
      </c>
      <c r="B11" s="24" t="inlineStr">
        <is>
          <t>Amount</t>
        </is>
      </c>
      <c r="C11" s="24" t="inlineStr">
        <is>
          <t>Note</t>
        </is>
      </c>
    </row>
    <row r="12">
      <c r="A12" s="25" t="inlineStr">
        <is>
          <t>Gross Revenue</t>
        </is>
      </c>
      <c r="B12" s="26" t="n">
        <v>920000</v>
      </c>
      <c r="C12" s="27" t="inlineStr">
        <is>
          <t>◀ START HERE</t>
        </is>
      </c>
    </row>
    <row r="13">
      <c r="A13" s="25" t="inlineStr">
        <is>
          <t>Returns &amp; Refunds</t>
        </is>
      </c>
      <c r="B13" s="26" t="n">
        <v>70000</v>
      </c>
      <c r="C13" s="28" t="inlineStr">
        <is>
          <t>Enter positive</t>
        </is>
      </c>
    </row>
    <row r="14">
      <c r="A14" s="25" t="inlineStr">
        <is>
          <t>Discounts Given</t>
        </is>
      </c>
      <c r="B14" s="26" t="n">
        <v>0</v>
      </c>
      <c r="C14" s="28" t="inlineStr"/>
    </row>
    <row r="15">
      <c r="A15" s="29" t="inlineStr">
        <is>
          <t>NET REVENUE</t>
        </is>
      </c>
      <c r="B15" s="30">
        <f>B12-B13-B14</f>
        <v/>
      </c>
      <c r="C15" s="29" t="n"/>
    </row>
    <row r="17" ht="22" customHeight="1">
      <c r="A17" s="3" t="inlineStr">
        <is>
          <t>COST OF GOODS SOLD</t>
        </is>
      </c>
    </row>
    <row r="18">
      <c r="A18" s="24" t="inlineStr">
        <is>
          <t>Line item</t>
        </is>
      </c>
      <c r="B18" s="24" t="inlineStr">
        <is>
          <t>Amount</t>
        </is>
      </c>
      <c r="C18" s="24" t="inlineStr">
        <is>
          <t>Note</t>
        </is>
      </c>
    </row>
    <row r="19">
      <c r="A19" s="25" t="inlineStr">
        <is>
          <t>Product / Material (LANDED)</t>
        </is>
      </c>
      <c r="B19" s="26" t="n">
        <v>380000</v>
      </c>
      <c r="C19" s="27" t="inlineStr">
        <is>
          <t>◀ START HERE</t>
        </is>
      </c>
    </row>
    <row r="20">
      <c r="A20" s="25" t="inlineStr">
        <is>
          <t>Direct Labour</t>
        </is>
      </c>
      <c r="B20" s="26" t="n">
        <v>40000</v>
      </c>
      <c r="C20" s="28" t="inlineStr">
        <is>
          <t>Production staff only</t>
        </is>
      </c>
    </row>
    <row r="21">
      <c r="A21" s="25" t="inlineStr">
        <is>
          <t>Packaging</t>
        </is>
      </c>
      <c r="B21" s="26" t="n">
        <v>22000</v>
      </c>
      <c r="C21" s="28" t="inlineStr"/>
    </row>
    <row r="22">
      <c r="A22" s="29" t="inlineStr">
        <is>
          <t>TOTAL COGS</t>
        </is>
      </c>
      <c r="B22" s="30">
        <f>SUM(B19:B21)</f>
        <v/>
      </c>
      <c r="C22" s="29" t="n"/>
    </row>
    <row r="24" ht="22" customHeight="1">
      <c r="A24" s="3" t="inlineStr">
        <is>
          <t>OTHER VARIABLE COSTS  ·  the ones founders forget</t>
        </is>
      </c>
    </row>
    <row r="25">
      <c r="A25" s="24" t="inlineStr">
        <is>
          <t>Line item</t>
        </is>
      </c>
      <c r="B25" s="24" t="inlineStr">
        <is>
          <t>Amount</t>
        </is>
      </c>
      <c r="C25" s="24" t="inlineStr">
        <is>
          <t>Note</t>
        </is>
      </c>
    </row>
    <row r="26">
      <c r="A26" s="25" t="inlineStr">
        <is>
          <t>Outbound Shipping</t>
        </is>
      </c>
      <c r="B26" s="26" t="n">
        <v>102000</v>
      </c>
      <c r="C26" s="27" t="inlineStr">
        <is>
          <t>◀ START HERE</t>
        </is>
      </c>
    </row>
    <row r="27">
      <c r="A27" s="25" t="inlineStr">
        <is>
          <t>Payment Gateway Fees</t>
        </is>
      </c>
      <c r="B27" s="26" t="n">
        <v>21250</v>
      </c>
      <c r="C27" s="28" t="inlineStr">
        <is>
          <t>% + fixed</t>
        </is>
      </c>
    </row>
    <row r="28">
      <c r="A28" s="25" t="inlineStr">
        <is>
          <t>Marketplace Commission</t>
        </is>
      </c>
      <c r="B28" s="26" t="n">
        <v>0</v>
      </c>
      <c r="C28" s="28" t="inlineStr"/>
    </row>
    <row r="29">
      <c r="A29" s="25" t="inlineStr">
        <is>
          <t>RTO / Failed Delivery</t>
        </is>
      </c>
      <c r="B29" s="26" t="n">
        <v>0</v>
      </c>
      <c r="C29" s="28" t="inlineStr">
        <is>
          <t>Two-way shipping loss</t>
        </is>
      </c>
    </row>
    <row r="30">
      <c r="A30" s="29" t="inlineStr">
        <is>
          <t>TOTAL OTHER VARIABLE</t>
        </is>
      </c>
      <c r="B30" s="30">
        <f>SUM(B26:B29)</f>
        <v/>
      </c>
      <c r="C30" s="29" t="n"/>
    </row>
    <row r="32" ht="22" customHeight="1">
      <c r="A32" s="3" t="inlineStr">
        <is>
          <t>OPERATING EXPENSES  ·  fixed</t>
        </is>
      </c>
    </row>
    <row r="33">
      <c r="A33" s="24" t="inlineStr">
        <is>
          <t>Line item</t>
        </is>
      </c>
      <c r="B33" s="24" t="inlineStr">
        <is>
          <t>Amount</t>
        </is>
      </c>
      <c r="C33" s="24" t="inlineStr">
        <is>
          <t>Note</t>
        </is>
      </c>
    </row>
    <row r="34">
      <c r="A34" s="25" t="inlineStr">
        <is>
          <t>Advertising Spend</t>
        </is>
      </c>
      <c r="B34" s="26" t="n">
        <v>240000</v>
      </c>
      <c r="C34" s="27" t="inlineStr">
        <is>
          <t>◀ START HERE</t>
        </is>
      </c>
    </row>
    <row r="35">
      <c r="A35" s="25" t="inlineStr">
        <is>
          <t>Salaries (non-production)</t>
        </is>
      </c>
      <c r="B35" s="26" t="n">
        <v>95000</v>
      </c>
      <c r="C35" s="27" t="inlineStr">
        <is>
          <t>◀ START HERE</t>
        </is>
      </c>
    </row>
    <row r="36">
      <c r="A36" s="25" t="inlineStr">
        <is>
          <t>Owner Compensation</t>
        </is>
      </c>
      <c r="B36" s="26" t="n">
        <v>40000</v>
      </c>
      <c r="C36" s="28" t="inlineStr">
        <is>
          <t>Market rate even if unpaid</t>
        </is>
      </c>
    </row>
    <row r="37">
      <c r="A37" s="25" t="inlineStr">
        <is>
          <t>Rent</t>
        </is>
      </c>
      <c r="B37" s="26" t="n">
        <v>25000</v>
      </c>
      <c r="C37" s="27" t="inlineStr">
        <is>
          <t>◀ START HERE</t>
        </is>
      </c>
    </row>
    <row r="38">
      <c r="A38" s="25" t="inlineStr">
        <is>
          <t>Software &amp; Subscriptions</t>
        </is>
      </c>
      <c r="B38" s="26" t="n">
        <v>8000</v>
      </c>
      <c r="C38" s="28" t="inlineStr"/>
    </row>
    <row r="39">
      <c r="A39" s="25" t="inlineStr">
        <is>
          <t>Other Operating</t>
        </is>
      </c>
      <c r="B39" s="26" t="n">
        <v>12000</v>
      </c>
      <c r="C39" s="28" t="inlineStr"/>
    </row>
    <row r="40">
      <c r="A40" s="25" t="inlineStr">
        <is>
          <t>Depreciation &amp; Amortization</t>
        </is>
      </c>
      <c r="B40" s="26" t="n">
        <v>0</v>
      </c>
      <c r="C40" s="28" t="inlineStr">
        <is>
          <t>Non-cash</t>
        </is>
      </c>
    </row>
    <row r="41">
      <c r="A41" s="29" t="inlineStr">
        <is>
          <t>TOTAL OPEX</t>
        </is>
      </c>
      <c r="B41" s="30">
        <f>SUM(B34:B40)</f>
        <v/>
      </c>
      <c r="C41" s="29" t="n"/>
    </row>
    <row r="43" ht="22" customHeight="1">
      <c r="A43" s="3" t="inlineStr">
        <is>
          <t>BELOW THE LINE  ·  and cash-only items</t>
        </is>
      </c>
    </row>
    <row r="44">
      <c r="A44" s="24" t="inlineStr">
        <is>
          <t>Line item</t>
        </is>
      </c>
      <c r="B44" s="24" t="inlineStr">
        <is>
          <t>Amount</t>
        </is>
      </c>
      <c r="C44" s="24" t="inlineStr">
        <is>
          <t>Note</t>
        </is>
      </c>
    </row>
    <row r="45">
      <c r="A45" s="25" t="inlineStr">
        <is>
          <t>Interest Expense</t>
        </is>
      </c>
      <c r="B45" s="26" t="n">
        <v>12000</v>
      </c>
      <c r="C45" s="28" t="inlineStr">
        <is>
          <t>P&amp;L item</t>
        </is>
      </c>
    </row>
    <row r="46">
      <c r="A46" s="25" t="inlineStr">
        <is>
          <t>Tax</t>
        </is>
      </c>
      <c r="B46" s="26" t="n">
        <v>0</v>
      </c>
      <c r="C46" s="28" t="inlineStr"/>
    </row>
    <row r="47">
      <c r="A47" s="25" t="inlineStr">
        <is>
          <t>Loan Principal Repaid</t>
        </is>
      </c>
      <c r="B47" s="26" t="n">
        <v>35000</v>
      </c>
      <c r="C47" s="28" t="inlineStr">
        <is>
          <t>CASH ONLY — not a P&amp;L expense</t>
        </is>
      </c>
    </row>
    <row r="48">
      <c r="A48" s="25" t="inlineStr">
        <is>
          <t>Capital Expenditure</t>
        </is>
      </c>
      <c r="B48" s="26" t="n">
        <v>0</v>
      </c>
      <c r="C48" s="28" t="inlineStr">
        <is>
          <t>Cash only</t>
        </is>
      </c>
    </row>
    <row r="49">
      <c r="A49" s="25" t="inlineStr">
        <is>
          <t>Owner Drawings</t>
        </is>
      </c>
      <c r="B49" s="26" t="n">
        <v>60000</v>
      </c>
      <c r="C49" s="28" t="inlineStr">
        <is>
          <t>CASH ONLY — not a P&amp;L expense</t>
        </is>
      </c>
    </row>
    <row r="51" ht="22" customHeight="1">
      <c r="A51" s="3" t="inlineStr">
        <is>
          <t>OPERATIONS &amp; BALANCE  ·  for unit economics and cash cycle</t>
        </is>
      </c>
    </row>
    <row r="52">
      <c r="A52" s="24" t="inlineStr">
        <is>
          <t>Line item</t>
        </is>
      </c>
      <c r="B52" s="24" t="inlineStr">
        <is>
          <t>Value</t>
        </is>
      </c>
      <c r="C52" s="24" t="inlineStr">
        <is>
          <t>Note</t>
        </is>
      </c>
    </row>
    <row r="53">
      <c r="A53" s="25" t="inlineStr">
        <is>
          <t>Number of Orders</t>
        </is>
      </c>
      <c r="B53" s="31" t="n">
        <v>1700</v>
      </c>
      <c r="C53" s="27" t="inlineStr">
        <is>
          <t>◀ START HERE</t>
        </is>
      </c>
    </row>
    <row r="54">
      <c r="A54" s="25" t="inlineStr">
        <is>
          <t>New Customers</t>
        </is>
      </c>
      <c r="B54" s="31" t="n">
        <v>1200</v>
      </c>
      <c r="C54" s="28" t="inlineStr">
        <is>
          <t>count</t>
        </is>
      </c>
    </row>
    <row r="55">
      <c r="A55" s="25" t="inlineStr">
        <is>
          <t>Repeat Customers</t>
        </is>
      </c>
      <c r="B55" s="31" t="n">
        <v>500</v>
      </c>
      <c r="C55" s="28" t="inlineStr">
        <is>
          <t>count</t>
        </is>
      </c>
    </row>
    <row r="56">
      <c r="A56" s="25" t="inlineStr">
        <is>
          <t>Customers Lost (churn)</t>
        </is>
      </c>
      <c r="B56" s="31" t="n">
        <v>90</v>
      </c>
      <c r="C56" s="28" t="inlineStr">
        <is>
          <t>count</t>
        </is>
      </c>
    </row>
    <row r="57">
      <c r="A57" s="25" t="inlineStr">
        <is>
          <t>Customers at Period Start</t>
        </is>
      </c>
      <c r="B57" s="31" t="n">
        <v>1500</v>
      </c>
      <c r="C57" s="28" t="inlineStr">
        <is>
          <t>count</t>
        </is>
      </c>
    </row>
    <row r="58">
      <c r="A58" s="25" t="inlineStr">
        <is>
          <t>Cash &amp; Bank (closing)</t>
        </is>
      </c>
      <c r="B58" s="26" t="n">
        <v>850000</v>
      </c>
      <c r="C58" s="27" t="inlineStr">
        <is>
          <t>◀ START HERE</t>
        </is>
      </c>
    </row>
    <row r="59">
      <c r="A59" s="25" t="inlineStr">
        <is>
          <t>Accounts Receivable (avg)</t>
        </is>
      </c>
      <c r="B59" s="26" t="n">
        <v>310000</v>
      </c>
      <c r="C59" s="28" t="inlineStr"/>
    </row>
    <row r="60">
      <c r="A60" s="25" t="inlineStr">
        <is>
          <t>Inventory at Cost (avg)</t>
        </is>
      </c>
      <c r="B60" s="26" t="n">
        <v>640000</v>
      </c>
      <c r="C60" s="28" t="inlineStr"/>
    </row>
    <row r="61">
      <c r="A61" s="25" t="inlineStr">
        <is>
          <t>Accounts Payable (avg)</t>
        </is>
      </c>
      <c r="B61" s="26" t="n">
        <v>220000</v>
      </c>
      <c r="C61" s="28" t="inlineStr"/>
    </row>
    <row r="62">
      <c r="A62" s="25" t="inlineStr">
        <is>
          <t>Total Debt</t>
        </is>
      </c>
      <c r="B62" s="26" t="n">
        <v>700000</v>
      </c>
      <c r="C62" s="28" t="inlineStr"/>
    </row>
    <row r="63">
      <c r="A63" s="25" t="inlineStr">
        <is>
          <t>Current Assets</t>
        </is>
      </c>
      <c r="B63" s="26" t="n">
        <v>1800000</v>
      </c>
      <c r="C63" s="28" t="inlineStr"/>
    </row>
    <row r="64">
      <c r="A64" s="25" t="inlineStr">
        <is>
          <t>Current Liabilities</t>
        </is>
      </c>
      <c r="B64" s="26" t="n">
        <v>950000</v>
      </c>
      <c r="C64" s="28" t="inlineStr"/>
    </row>
    <row r="65">
      <c r="A65" s="25" t="inlineStr">
        <is>
          <t>Total Equity</t>
        </is>
      </c>
      <c r="B65" s="26" t="n">
        <v>1400000</v>
      </c>
      <c r="C65" s="28" t="inlineStr"/>
    </row>
    <row r="66">
      <c r="A66" s="25" t="inlineStr">
        <is>
          <t>Days in Period</t>
        </is>
      </c>
      <c r="B66" s="32" t="n">
        <v>30</v>
      </c>
      <c r="C66" s="28" t="inlineStr">
        <is>
          <t>30 / 90 / 365</t>
        </is>
      </c>
    </row>
    <row r="68" ht="28" customHeight="1">
      <c r="A68" s="33" t="inlineStr">
        <is>
          <t>LEGEND — Yellow fill + blue text = your input. Grey = calculated, do not edit. All figures in the currency chosen at B5.</t>
        </is>
      </c>
      <c r="B68" s="33" t="n"/>
      <c r="C68" s="33" t="n"/>
    </row>
    <row r="70" ht="20" customHeight="1">
      <c r="A70" s="18" t="inlineStr">
        <is>
          <t>◆ Md Kamrul Hasan  ·  https://github.com/Kamrul5242  ·  Digital Signature MKH-EBIC-2.2.2  ·  Attribution required under MIT License</t>
        </is>
      </c>
    </row>
  </sheetData>
  <mergeCells count="11">
    <mergeCell ref="A4:H4"/>
    <mergeCell ref="A68:C68"/>
    <mergeCell ref="A43:H43"/>
    <mergeCell ref="A24:H24"/>
    <mergeCell ref="A2:H2"/>
    <mergeCell ref="A51:H51"/>
    <mergeCell ref="A10:H10"/>
    <mergeCell ref="A70:C70"/>
    <mergeCell ref="A1:H1"/>
    <mergeCell ref="A32:H32"/>
    <mergeCell ref="A17:H17"/>
  </mergeCells>
  <dataValidations count="1">
    <dataValidation sqref="B5" showDropDown="0" showInputMessage="0" showErrorMessage="0" allowBlank="0" promptTitle="Currency" prompt="Pick any of 34 currencies" type="list">
      <formula1>=Ref!$A$2:$A$35</formula1>
    </dataValidation>
  </dataValidations>
  <pageMargins left="0.2" right="0.2" top="0.2" bottom="0.2" header="0" footer="0"/>
  <pageSetup orientation="landscape" fitToHeight="1" fitToWidth="1"/>
  <legacyDrawing xmlns:r="http://schemas.openxmlformats.org/officeDocument/2006/relationships" r:id="anysvml"/>
</worksheet>
</file>

<file path=xl/worksheets/sheet3.xml><?xml version="1.0" encoding="utf-8"?>
<worksheet xmlns="http://schemas.openxmlformats.org/spreadsheetml/2006/main">
  <sheetPr>
    <tabColor rgb="000F2438"/>
    <outlinePr summaryBelow="1" summaryRight="1"/>
    <pageSetUpPr fitToPage="1"/>
  </sheetPr>
  <dimension ref="A1:H56"/>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14" customWidth="1" min="3" max="3"/>
    <col width="26" customWidth="1" min="4" max="4"/>
    <col width="20" customWidth="1" min="5" max="5"/>
    <col width="14" customWidth="1" min="6" max="6"/>
    <col width="24" customWidth="1" min="7" max="7"/>
    <col width="16" customWidth="1" min="8" max="8"/>
  </cols>
  <sheetData>
    <row r="1" ht="30" customHeight="1">
      <c r="A1" s="1" t="inlineStr">
        <is>
          <t>EXECUTIVE DASHBOARD</t>
        </is>
      </c>
    </row>
    <row r="2" ht="18" customHeight="1">
      <c r="A2" s="2" t="inlineStr">
        <is>
          <t>Live from Setup. Change any input and every figure here updates.</t>
        </is>
      </c>
    </row>
    <row r="3">
      <c r="A3" s="34">
        <f>""&amp;'1. Setup'!$B$6&amp;"  ·  Period: "&amp;'1. Setup'!$B$8</f>
        <v/>
      </c>
      <c r="B3" s="35" t="n"/>
      <c r="C3" s="35" t="n"/>
      <c r="D3" s="35" t="n"/>
      <c r="E3" s="35" t="n"/>
      <c r="F3" s="35" t="n"/>
      <c r="G3" s="35" t="n"/>
      <c r="H3" s="35" t="n"/>
    </row>
    <row r="5" ht="22" customHeight="1">
      <c r="A5" s="3" t="inlineStr">
        <is>
          <t>KEY NUMBERS</t>
        </is>
      </c>
      <c r="E5" s="3" t="inlineStr">
        <is>
          <t>UNIT ECONOMICS</t>
        </is>
      </c>
    </row>
    <row r="6">
      <c r="A6" s="24" t="inlineStr">
        <is>
          <t>Metric</t>
        </is>
      </c>
      <c r="B6" s="24" t="inlineStr">
        <is>
          <t>Value</t>
        </is>
      </c>
      <c r="C6" s="24" t="inlineStr">
        <is>
          <t>Status</t>
        </is>
      </c>
      <c r="E6" s="24" t="inlineStr">
        <is>
          <t>Metric</t>
        </is>
      </c>
      <c r="F6" s="24" t="inlineStr">
        <is>
          <t>Value</t>
        </is>
      </c>
    </row>
    <row r="7">
      <c r="A7" s="19" t="inlineStr">
        <is>
          <t>Net Revenue</t>
        </is>
      </c>
      <c r="B7" s="36">
        <f>'1. Setup'!$B$15</f>
        <v/>
      </c>
      <c r="C7" s="37">
        <f>IF(B7&gt;0,"OK",IF(B7=0,"FLAT","LOSS"))</f>
        <v/>
      </c>
      <c r="E7" s="25" t="inlineStr">
        <is>
          <t>AOV</t>
        </is>
      </c>
      <c r="F7" s="38">
        <f>IFERROR('1. Setup'!$B$15/'1. Setup'!$B$53,0)</f>
        <v/>
      </c>
    </row>
    <row r="8">
      <c r="A8" s="19" t="inlineStr">
        <is>
          <t>Gross Profit</t>
        </is>
      </c>
      <c r="B8" s="36">
        <f>'1. Setup'!$B$15-'1. Setup'!$B$22</f>
        <v/>
      </c>
      <c r="C8" s="37">
        <f>IF(B8&gt;0,"OK",IF(B8=0,"FLAT","LOSS"))</f>
        <v/>
      </c>
      <c r="E8" s="25" t="inlineStr">
        <is>
          <t>Blended CAC</t>
        </is>
      </c>
      <c r="F8" s="38">
        <f>IFERROR('1. Setup'!$B$34/'1. Setup'!$B$54,0)</f>
        <v/>
      </c>
    </row>
    <row r="9">
      <c r="A9" s="19" t="inlineStr">
        <is>
          <t>Contribution (pre-ad)</t>
        </is>
      </c>
      <c r="B9" s="36">
        <f>'1. Setup'!$B$15-'1. Setup'!$B$22-'1. Setup'!$B$30</f>
        <v/>
      </c>
      <c r="C9" s="37">
        <f>IF(B9&gt;0,"OK",IF(B9=0,"FLAT","LOSS"))</f>
        <v/>
      </c>
      <c r="E9" s="25" t="inlineStr">
        <is>
          <t>CM per order</t>
        </is>
      </c>
      <c r="F9" s="38">
        <f>IFERROR(('1. Setup'!$B$15-'1. Setup'!$B$22-'1. Setup'!$B$30-'1. Setup'!$B$34)/'1. Setup'!$B$53,0)</f>
        <v/>
      </c>
    </row>
    <row r="10">
      <c r="A10" s="19" t="inlineStr">
        <is>
          <t>CM after Ads</t>
        </is>
      </c>
      <c r="B10" s="36">
        <f>'1. Setup'!$B$15-'1. Setup'!$B$22-'1. Setup'!$B$30-'1. Setup'!$B$34</f>
        <v/>
      </c>
      <c r="C10" s="37">
        <f>IF(B10&gt;0,"OK",IF(B10=0,"FLAT","LOSS"))</f>
        <v/>
      </c>
      <c r="E10" s="25" t="inlineStr">
        <is>
          <t>CM ratio (pre-ad)</t>
        </is>
      </c>
      <c r="F10" s="39">
        <f>IFERROR(('1. Setup'!$B$15-'1. Setup'!$B$22-'1. Setup'!$B$30)/'1. Setup'!$B$15,0)</f>
        <v/>
      </c>
    </row>
    <row r="11">
      <c r="A11" s="19" t="inlineStr">
        <is>
          <t>Operating Profit</t>
        </is>
      </c>
      <c r="B11" s="36">
        <f>'1. Setup'!$B$15-'1. Setup'!$B$22-'1. Setup'!$B$30-'1. Setup'!$B$41</f>
        <v/>
      </c>
      <c r="C11" s="37">
        <f>IF(B11&gt;0,"OK",IF(B11=0,"FLAT","LOSS"))</f>
        <v/>
      </c>
      <c r="E11" s="25" t="inlineStr">
        <is>
          <t>Break-even ROAS</t>
        </is>
      </c>
      <c r="F11" s="40">
        <f>IFERROR('1. Setup'!$B$15/('1. Setup'!$B$15-'1. Setup'!$B$22-'1. Setup'!$B$30),0)</f>
        <v/>
      </c>
    </row>
    <row r="12">
      <c r="A12" s="19" t="inlineStr">
        <is>
          <t>Net Profit</t>
        </is>
      </c>
      <c r="B12" s="36">
        <f>'1. Setup'!$B$15-'1. Setup'!$B$22-'1. Setup'!$B$30-'1. Setup'!$B$41-'1. Setup'!$B$45-'1. Setup'!$B$46</f>
        <v/>
      </c>
      <c r="C12" s="37">
        <f>IF(B12&gt;0,"OK",IF(B12=0,"FLAT","LOSS"))</f>
        <v/>
      </c>
      <c r="E12" s="25" t="inlineStr">
        <is>
          <t>Actual ROAS (blended)</t>
        </is>
      </c>
      <c r="F12" s="40">
        <f>IFERROR('1. Setup'!$B$15/'1. Setup'!$B$34,0)</f>
        <v/>
      </c>
    </row>
    <row r="13">
      <c r="A13" s="19" t="inlineStr">
        <is>
          <t>Gross Margin</t>
        </is>
      </c>
      <c r="B13" s="41">
        <f>IFERROR(('1. Setup'!$B$15-'1. Setup'!$B$22)/'1. Setup'!$B$15,0)</f>
        <v/>
      </c>
      <c r="C13" s="37">
        <f>IF(B13&gt;0,"OK",IF(B13=0,"FLAT","LOSS"))</f>
        <v/>
      </c>
      <c r="E13" s="25" t="inlineStr">
        <is>
          <t>ROAS headroom</t>
        </is>
      </c>
      <c r="F13" s="40">
        <f>IFERROR('1. Setup'!$B$15/'1. Setup'!$B$34-'1. Setup'!$B$15/('1. Setup'!$B$15-'1. Setup'!$B$22-'1. Setup'!$B$30),0)</f>
        <v/>
      </c>
    </row>
    <row r="14">
      <c r="A14" s="19" t="inlineStr">
        <is>
          <t>Net Margin</t>
        </is>
      </c>
      <c r="B14" s="41">
        <f>IFERROR(('1. Setup'!$B$15-'1. Setup'!$B$22-'1. Setup'!$B$30-'1. Setup'!$B$41-'1. Setup'!$B$45-'1. Setup'!$B$46)/'1. Setup'!$B$15,0)</f>
        <v/>
      </c>
      <c r="C14" s="37">
        <f>IF(B14&gt;0,"OK",IF(B14=0,"FLAT","LOSS"))</f>
        <v/>
      </c>
      <c r="E14" s="25" t="inlineStr">
        <is>
          <t>Repeat rate</t>
        </is>
      </c>
      <c r="F14" s="39">
        <f>IFERROR('1. Setup'!$B$55/('1. Setup'!$B$54+'1. Setup'!$B$55),0)</f>
        <v/>
      </c>
    </row>
    <row r="15">
      <c r="E15" s="25" t="inlineStr">
        <is>
          <t>Churn rate</t>
        </is>
      </c>
      <c r="F15" s="39">
        <f>IFERROR('1. Setup'!$B$56/'1. Setup'!$B$57,0)</f>
        <v/>
      </c>
    </row>
    <row r="16" ht="22" customHeight="1">
      <c r="A16" s="3" t="inlineStr">
        <is>
          <t>CASH  ·  RUNWAY</t>
        </is>
      </c>
      <c r="E16" s="3" t="inlineStr">
        <is>
          <t>LIQUIDITY &amp; CASH CYCLE</t>
        </is>
      </c>
    </row>
    <row r="17">
      <c r="A17" s="24" t="inlineStr">
        <is>
          <t>Metric</t>
        </is>
      </c>
      <c r="B17" s="24" t="inlineStr">
        <is>
          <t>Value</t>
        </is>
      </c>
      <c r="C17" s="24" t="inlineStr">
        <is>
          <t>Status</t>
        </is>
      </c>
      <c r="E17" s="24" t="inlineStr">
        <is>
          <t>Metric</t>
        </is>
      </c>
      <c r="F17" s="24" t="inlineStr">
        <is>
          <t>Value</t>
        </is>
      </c>
    </row>
    <row r="18">
      <c r="A18" s="19" t="inlineStr">
        <is>
          <t>Operating Cash Flow (approx)</t>
        </is>
      </c>
      <c r="B18" s="42">
        <f>('1. Setup'!$B$15-'1. Setup'!$B$22-'1. Setup'!$B$30-'1. Setup'!$B$41-'1. Setup'!$B$45-'1. Setup'!$B$46)+'1. Setup'!$B$40</f>
        <v/>
      </c>
      <c r="C18" s="37">
        <f>IF(ISTEXT(B18),"OK",IF(B18&gt;=0,"OK","LOSS"))</f>
        <v/>
      </c>
      <c r="E18" s="25" t="inlineStr">
        <is>
          <t>Current Ratio</t>
        </is>
      </c>
      <c r="F18" s="43">
        <f>IFERROR('1. Setup'!$B$63/'1. Setup'!$B$64,0)</f>
        <v/>
      </c>
    </row>
    <row r="19">
      <c r="A19" s="19" t="inlineStr">
        <is>
          <t>Cash out below the line</t>
        </is>
      </c>
      <c r="B19" s="42">
        <f>'1. Setup'!$B$47+'1. Setup'!$B$48+'1. Setup'!$B$49</f>
        <v/>
      </c>
      <c r="C19" s="37">
        <f>IF(ISTEXT(B19),"OK",IF(B19&gt;=0,"OK","LOSS"))</f>
        <v/>
      </c>
      <c r="E19" s="25" t="inlineStr">
        <is>
          <t>Quick Ratio</t>
        </is>
      </c>
      <c r="F19" s="43">
        <f>IFERROR(('1. Setup'!$B$63-'1. Setup'!$B$60)/'1. Setup'!$B$64,0)</f>
        <v/>
      </c>
    </row>
    <row r="20">
      <c r="A20" s="19" t="inlineStr">
        <is>
          <t>Net Cash Change</t>
        </is>
      </c>
      <c r="B20" s="42">
        <f>('1. Setup'!$B$15-'1. Setup'!$B$22-'1. Setup'!$B$30-'1. Setup'!$B$41-'1. Setup'!$B$45-'1. Setup'!$B$46)+'1. Setup'!$B$40-'1. Setup'!$B$47-'1. Setup'!$B$48-'1. Setup'!$B$49</f>
        <v/>
      </c>
      <c r="C20" s="37">
        <f>IF(ISTEXT(B20),"OK",IF(B20&gt;=0,"OK","LOSS"))</f>
        <v/>
      </c>
      <c r="E20" s="25" t="inlineStr">
        <is>
          <t>Debt / Equity</t>
        </is>
      </c>
      <c r="F20" s="43">
        <f>IFERROR('1. Setup'!$B$62/'1. Setup'!$B$65,0)</f>
        <v/>
      </c>
    </row>
    <row r="21">
      <c r="A21" s="19" t="inlineStr">
        <is>
          <t>Monthly Net Burn</t>
        </is>
      </c>
      <c r="B21" s="42">
        <f>MAX(0,-(('1. Setup'!$B$15-'1. Setup'!$B$22-'1. Setup'!$B$30-'1. Setup'!$B$41-'1. Setup'!$B$45-'1. Setup'!$B$46)+'1. Setup'!$B$40-'1. Setup'!$B$47-'1. Setup'!$B$48-'1. Setup'!$B$49))</f>
        <v/>
      </c>
      <c r="C21" s="37">
        <f>IF(ISTEXT(B21),"OK",IF(B21&gt;=0,"OK","LOSS"))</f>
        <v/>
      </c>
      <c r="E21" s="25" t="inlineStr">
        <is>
          <t>Interest Coverage</t>
        </is>
      </c>
      <c r="F21" s="40">
        <f>IFERROR(('1. Setup'!$B$15-'1. Setup'!$B$22-'1. Setup'!$B$30-'1. Setup'!$B$41)/'1. Setup'!$B$45,0)</f>
        <v/>
      </c>
    </row>
    <row r="22">
      <c r="A22" s="19" t="inlineStr">
        <is>
          <t>Runway (months)</t>
        </is>
      </c>
      <c r="B22" s="44">
        <f>IF(MAX(0,-(('1. Setup'!$B$15-'1. Setup'!$B$22-'1. Setup'!$B$30-'1. Setup'!$B$41-'1. Setup'!$B$45-'1. Setup'!$B$46)+'1. Setup'!$B$40-'1. Setup'!$B$47-'1. Setup'!$B$48-'1. Setup'!$B$49))=0,"cash positive",'1. Setup'!$B$58/MAX(1,-(('1. Setup'!$B$15-'1. Setup'!$B$22-'1. Setup'!$B$30-'1. Setup'!$B$41-'1. Setup'!$B$45-'1. Setup'!$B$46)+'1. Setup'!$B$40-'1. Setup'!$B$47-'1. Setup'!$B$48-'1. Setup'!$B$49)))</f>
        <v/>
      </c>
      <c r="C22" s="37">
        <f>IF(ISTEXT(B22),"OK",IF(B22&gt;=0,"OK","LOSS"))</f>
        <v/>
      </c>
      <c r="E22" s="25" t="inlineStr">
        <is>
          <t>DIO (days)</t>
        </is>
      </c>
      <c r="F22" s="44">
        <f>IFERROR('1. Setup'!$B$60/'1. Setup'!$B$22*'1. Setup'!$B$66,0)</f>
        <v/>
      </c>
    </row>
    <row r="23">
      <c r="E23" s="25" t="inlineStr">
        <is>
          <t>DSO (days)</t>
        </is>
      </c>
      <c r="F23" s="44">
        <f>IFERROR('1. Setup'!$B$59/'1. Setup'!$B$15*'1. Setup'!$B$66,0)</f>
        <v/>
      </c>
    </row>
    <row r="24">
      <c r="E24" s="25" t="inlineStr">
        <is>
          <t>DPO (days)</t>
        </is>
      </c>
      <c r="F24" s="44">
        <f>IFERROR('1. Setup'!$B$61/'1. Setup'!$B$22*'1. Setup'!$B$66,0)</f>
        <v/>
      </c>
    </row>
    <row r="25">
      <c r="E25" s="25" t="inlineStr">
        <is>
          <t>Cash Conversion Cycle</t>
        </is>
      </c>
      <c r="F25" s="44">
        <f>IFERROR('1. Setup'!$B$60/'1. Setup'!$B$22*'1. Setup'!$B$66+'1. Setup'!$B$59/'1. Setup'!$B$15*'1. Setup'!$B$66-'1. Setup'!$B$61/'1. Setup'!$B$22*'1. Setup'!$B$66,0)</f>
        <v/>
      </c>
    </row>
    <row r="27" ht="22" customHeight="1">
      <c r="A27" s="3" t="inlineStr">
        <is>
          <t>BREAK-EVEN</t>
        </is>
      </c>
    </row>
    <row r="28">
      <c r="A28" s="19" t="inlineStr">
        <is>
          <t>Fixed costs (OPEX excl. ads)</t>
        </is>
      </c>
      <c r="B28" s="42">
        <f>'1. Setup'!$B$41-'1. Setup'!$B$34</f>
        <v/>
      </c>
    </row>
    <row r="29">
      <c r="A29" s="19" t="inlineStr">
        <is>
          <t>CM ratio (pre-ad)</t>
        </is>
      </c>
      <c r="B29" s="39">
        <f>IFERROR(('1. Setup'!$B$15-'1. Setup'!$B$22-'1. Setup'!$B$30)/'1. Setup'!$B$15,0)</f>
        <v/>
      </c>
    </row>
    <row r="30">
      <c r="A30" s="19" t="inlineStr">
        <is>
          <t>Break-even revenue</t>
        </is>
      </c>
      <c r="B30" s="42">
        <f>IFERROR(B28/B29,0)</f>
        <v/>
      </c>
    </row>
    <row r="31">
      <c r="A31" s="19" t="inlineStr">
        <is>
          <t>Break-even orders</t>
        </is>
      </c>
      <c r="B31" s="45">
        <f>IFERROR(B30/IFERROR('1. Setup'!$B$15/'1. Setup'!$B$53,1),0)</f>
        <v/>
      </c>
    </row>
    <row r="32">
      <c r="A32" s="19" t="inlineStr">
        <is>
          <t>Margin of safety</t>
        </is>
      </c>
      <c r="B32" s="39">
        <f>IFERROR(('1. Setup'!$B$15-B30)/'1. Setup'!$B$15,0)</f>
        <v/>
      </c>
    </row>
    <row r="34" ht="22" customHeight="1">
      <c r="A34" s="3" t="inlineStr">
        <is>
          <t>VERDICT</t>
        </is>
      </c>
    </row>
    <row r="35" ht="34" customHeight="1">
      <c r="A35" s="46">
        <f>IF(B10&lt;0,"BROKEN UNIT ECONOMICS — contribution after ads is negative and actual ROAS is below break-even ROAS. Every order loses money before fixed costs are even counted. Stop scaling; fix pricing, CAC, or COGS first.",IF(B12&lt;0,"NET LOSS FROM OVERHEAD — each order is profitable after ads, but fixed costs, interest, or tax exceed that contribution. Fix overhead, not the product.","PROFITABLE — protect margin and scale toward the next constraint."))</f>
        <v/>
      </c>
      <c r="B35" s="46" t="n"/>
      <c r="C35" s="46" t="n"/>
      <c r="D35" s="46" t="n"/>
      <c r="E35" s="46" t="n"/>
      <c r="F35" s="46" t="n"/>
      <c r="G35" s="46" t="n"/>
      <c r="H35" s="46" t="n"/>
    </row>
    <row r="56" ht="20" customHeight="1">
      <c r="A56" s="18" t="inlineStr">
        <is>
          <t>◆ Md Kamrul Hasan  ·  https://github.com/Kamrul5242  ·  Digital Signature MKH-EBIC-2.2.2  ·  Attribution required under MIT License</t>
        </is>
      </c>
    </row>
  </sheetData>
  <mergeCells count="10">
    <mergeCell ref="A56:H56"/>
    <mergeCell ref="E16:F16"/>
    <mergeCell ref="A35:H35"/>
    <mergeCell ref="A5:C5"/>
    <mergeCell ref="A2:H2"/>
    <mergeCell ref="A1:H1"/>
    <mergeCell ref="A27:H27"/>
    <mergeCell ref="E5:H5"/>
    <mergeCell ref="A16:C16"/>
    <mergeCell ref="A34:H34"/>
  </mergeCells>
  <conditionalFormatting sqref="C7:C14">
    <cfRule type="cellIs" priority="1" operator="equal" dxfId="0">
      <formula>"LOSS"</formula>
    </cfRule>
    <cfRule type="cellIs" priority="2" operator="equal" dxfId="1">
      <formula>"OK"</formula>
    </cfRule>
  </conditionalFormatting>
  <conditionalFormatting sqref="C18:C22">
    <cfRule type="cellIs" priority="3" operator="equal" dxfId="0">
      <formula>"LOSS"</formula>
    </cfRule>
    <cfRule type="cellIs" priority="4" operator="equal" dxfId="1">
      <formula>"OK"</formula>
    </cfRule>
  </conditionalFormatting>
  <pageMargins left="0.2" right="0.2" top="0.2" bottom="0.2" header="0" footer="0"/>
  <pageSetup orientation="landscape" fitToHeight="1" fitToWidth="1"/>
  <drawing xmlns:r="http://schemas.openxmlformats.org/officeDocument/2006/relationships" r:id="rId1"/>
</worksheet>
</file>

<file path=xl/worksheets/sheet4.xml><?xml version="1.0" encoding="utf-8"?>
<worksheet xmlns="http://schemas.openxmlformats.org/spreadsheetml/2006/main">
  <sheetPr>
    <tabColor rgb="001B3A57"/>
    <outlinePr summaryBelow="1" summaryRight="1"/>
    <pageSetUpPr fitToPage="1"/>
  </sheetPr>
  <dimension ref="A1:F31"/>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18" customWidth="1" min="3" max="3"/>
    <col width="18" customWidth="1" min="4" max="4"/>
    <col width="18" customWidth="1" min="5" max="5"/>
    <col width="18" customWidth="1" min="6" max="6"/>
  </cols>
  <sheetData>
    <row r="1" ht="30" customHeight="1">
      <c r="A1" s="1" t="inlineStr">
        <is>
          <t>SCENARIO MODEL</t>
        </is>
      </c>
    </row>
    <row r="2" ht="18" customHeight="1">
      <c r="A2" s="2" t="inlineStr">
        <is>
          <t>Edit the yellow drivers. Conservative / Base / Aggressive recalculate live.</t>
        </is>
      </c>
    </row>
    <row r="4" ht="22" customHeight="1">
      <c r="A4" s="3" t="inlineStr">
        <is>
          <t>DRIVERS</t>
        </is>
      </c>
    </row>
    <row r="5">
      <c r="A5" s="24" t="inlineStr">
        <is>
          <t>Driver</t>
        </is>
      </c>
      <c r="B5" s="24" t="inlineStr">
        <is>
          <t>Conservative</t>
        </is>
      </c>
      <c r="C5" s="24" t="inlineStr">
        <is>
          <t>Base</t>
        </is>
      </c>
      <c r="D5" s="24" t="inlineStr">
        <is>
          <t>Aggressive</t>
        </is>
      </c>
    </row>
    <row r="6">
      <c r="A6" s="19" t="inlineStr">
        <is>
          <t>Revenue change</t>
        </is>
      </c>
      <c r="B6" s="47" t="n">
        <v>-0.25</v>
      </c>
      <c r="C6" s="47" t="n">
        <v>0</v>
      </c>
      <c r="D6" s="47" t="n">
        <v>0.25</v>
      </c>
    </row>
    <row r="7">
      <c r="A7" s="19" t="inlineStr">
        <is>
          <t>COGS % change</t>
        </is>
      </c>
      <c r="B7" s="47" t="n">
        <v>0.04</v>
      </c>
      <c r="C7" s="47" t="n">
        <v>0</v>
      </c>
      <c r="D7" s="47" t="n">
        <v>-0.02</v>
      </c>
    </row>
    <row r="8">
      <c r="A8" s="19" t="inlineStr">
        <is>
          <t>Ad spend change</t>
        </is>
      </c>
      <c r="B8" s="47" t="n">
        <v>0.1</v>
      </c>
      <c r="C8" s="47" t="n">
        <v>0</v>
      </c>
      <c r="D8" s="47" t="n">
        <v>0.2</v>
      </c>
    </row>
    <row r="9">
      <c r="A9" s="19" t="inlineStr">
        <is>
          <t>Fixed cost change</t>
        </is>
      </c>
      <c r="B9" s="47" t="n">
        <v>0.05</v>
      </c>
      <c r="C9" s="47" t="n">
        <v>0</v>
      </c>
      <c r="D9" s="47" t="n">
        <v>0</v>
      </c>
    </row>
    <row r="11" ht="22" customHeight="1">
      <c r="A11" s="3" t="inlineStr">
        <is>
          <t>OUTCOME</t>
        </is>
      </c>
    </row>
    <row r="12">
      <c r="A12" s="24" t="inlineStr">
        <is>
          <t>Line</t>
        </is>
      </c>
      <c r="B12" s="24" t="inlineStr">
        <is>
          <t>Conservative</t>
        </is>
      </c>
      <c r="C12" s="24" t="inlineStr">
        <is>
          <t>Base</t>
        </is>
      </c>
      <c r="D12" s="24" t="inlineStr">
        <is>
          <t>Aggressive</t>
        </is>
      </c>
    </row>
    <row r="13">
      <c r="A13" s="19" t="inlineStr">
        <is>
          <t>Net Revenue</t>
        </is>
      </c>
      <c r="B13" s="48">
        <f>'1. Setup'!$B$15*(1+B6)</f>
        <v/>
      </c>
      <c r="C13" s="48">
        <f>'1. Setup'!$B$15*(1+C6)</f>
        <v/>
      </c>
      <c r="D13" s="48">
        <f>'1. Setup'!$B$15*(1+D6)</f>
        <v/>
      </c>
    </row>
    <row r="14">
      <c r="A14" s="19" t="inlineStr">
        <is>
          <t>COGS</t>
        </is>
      </c>
      <c r="B14" s="48">
        <f>'1. Setup'!$B$22*(1+B6)*(1+B7)</f>
        <v/>
      </c>
      <c r="C14" s="48">
        <f>'1. Setup'!$B$22*(1+C6)*(1+C7)</f>
        <v/>
      </c>
      <c r="D14" s="48">
        <f>'1. Setup'!$B$22*(1+D6)*(1+D7)</f>
        <v/>
      </c>
    </row>
    <row r="15">
      <c r="A15" s="19" t="inlineStr">
        <is>
          <t>Other variable</t>
        </is>
      </c>
      <c r="B15" s="48">
        <f>'1. Setup'!$B$30*(1+B6)</f>
        <v/>
      </c>
      <c r="C15" s="48">
        <f>'1. Setup'!$B$30*(1+C6)</f>
        <v/>
      </c>
      <c r="D15" s="48">
        <f>'1. Setup'!$B$30*(1+D6)</f>
        <v/>
      </c>
    </row>
    <row r="16">
      <c r="A16" s="19" t="inlineStr">
        <is>
          <t>Ad spend</t>
        </is>
      </c>
      <c r="B16" s="48">
        <f>'1. Setup'!$B$34*(1+B8)</f>
        <v/>
      </c>
      <c r="C16" s="48">
        <f>'1. Setup'!$B$34*(1+C8)</f>
        <v/>
      </c>
      <c r="D16" s="48">
        <f>'1. Setup'!$B$34*(1+D8)</f>
        <v/>
      </c>
    </row>
    <row r="17">
      <c r="A17" s="19" t="inlineStr">
        <is>
          <t>Fixed OPEX</t>
        </is>
      </c>
      <c r="B17" s="48">
        <f>('1. Setup'!$B$41-'1. Setup'!$B$34)*(1+B9)</f>
        <v/>
      </c>
      <c r="C17" s="48">
        <f>('1. Setup'!$B$41-'1. Setup'!$B$34)*(1+C9)</f>
        <v/>
      </c>
      <c r="D17" s="48">
        <f>('1. Setup'!$B$41-'1. Setup'!$B$34)*(1+D9)</f>
        <v/>
      </c>
    </row>
    <row r="18">
      <c r="A18" s="19" t="inlineStr">
        <is>
          <t>Gross Profit</t>
        </is>
      </c>
      <c r="B18" s="42">
        <f>B13-B14</f>
        <v/>
      </c>
      <c r="C18" s="42">
        <f>C13-C14</f>
        <v/>
      </c>
      <c r="D18" s="42">
        <f>D13-D14</f>
        <v/>
      </c>
    </row>
    <row r="19">
      <c r="A19" s="19" t="inlineStr">
        <is>
          <t>Contribution after ads</t>
        </is>
      </c>
      <c r="B19" s="48">
        <f>B13-B14-B15-B16</f>
        <v/>
      </c>
      <c r="C19" s="48">
        <f>C13-C14-C15-C16</f>
        <v/>
      </c>
      <c r="D19" s="48">
        <f>D13-D14-D15-D16</f>
        <v/>
      </c>
    </row>
    <row r="20">
      <c r="A20" s="19" t="inlineStr">
        <is>
          <t>Operating Profit</t>
        </is>
      </c>
      <c r="B20" s="42">
        <f>B19-B17</f>
        <v/>
      </c>
      <c r="C20" s="42">
        <f>C19-C17</f>
        <v/>
      </c>
      <c r="D20" s="42">
        <f>D19-D17</f>
        <v/>
      </c>
    </row>
    <row r="21">
      <c r="A21" s="19" t="inlineStr">
        <is>
          <t>Operating Margin</t>
        </is>
      </c>
      <c r="B21" s="49">
        <f>IFERROR(B20/B13,0)</f>
        <v/>
      </c>
      <c r="C21" s="49">
        <f>IFERROR(C20/C13,0)</f>
        <v/>
      </c>
      <c r="D21" s="49">
        <f>IFERROR(D20/D13,0)</f>
        <v/>
      </c>
    </row>
    <row r="22">
      <c r="A22" s="19" t="inlineStr">
        <is>
          <t>Verdict</t>
        </is>
      </c>
      <c r="B22" s="50">
        <f>IF(B20&gt;0,"PROFIT","LOSS")</f>
        <v/>
      </c>
      <c r="C22" s="50">
        <f>IF(C20&gt;0,"PROFIT","LOSS")</f>
        <v/>
      </c>
      <c r="D22" s="50">
        <f>IF(D20&gt;0,"PROFIT","LOSS")</f>
        <v/>
      </c>
    </row>
    <row r="24" ht="22" customHeight="1">
      <c r="A24" s="3" t="inlineStr">
        <is>
          <t>PRICE SENSITIVITY  ·  how much volume can you afford to lose?</t>
        </is>
      </c>
    </row>
    <row r="25">
      <c r="A25" s="24" t="inlineStr">
        <is>
          <t>Price increase</t>
        </is>
      </c>
      <c r="B25" s="24" t="inlineStr">
        <is>
          <t>Max volume loss tolerable</t>
        </is>
      </c>
      <c r="C25" s="24" t="n"/>
    </row>
    <row r="26">
      <c r="A26" s="51" t="n">
        <v>0.05</v>
      </c>
      <c r="B26" s="52">
        <f>IFERROR(0.05/(IFERROR(('1. Setup'!$B$15-'1. Setup'!$B$22-'1. Setup'!$B$30)/'1. Setup'!$B$15,0.3)+0.05),0)</f>
        <v/>
      </c>
      <c r="C26" s="52" t="n"/>
    </row>
    <row r="27">
      <c r="A27" s="51" t="n">
        <v>0.1</v>
      </c>
      <c r="B27" s="52">
        <f>IFERROR(0.1/(IFERROR(('1. Setup'!$B$15-'1. Setup'!$B$22-'1. Setup'!$B$30)/'1. Setup'!$B$15,0.3)+0.1),0)</f>
        <v/>
      </c>
      <c r="C27" s="52" t="n"/>
    </row>
    <row r="28">
      <c r="A28" s="51" t="n">
        <v>0.15</v>
      </c>
      <c r="B28" s="52">
        <f>IFERROR(0.15/(IFERROR(('1. Setup'!$B$15-'1. Setup'!$B$22-'1. Setup'!$B$30)/'1. Setup'!$B$15,0.3)+0.15),0)</f>
        <v/>
      </c>
      <c r="C28" s="52" t="n"/>
    </row>
    <row r="29">
      <c r="A29" s="51" t="n">
        <v>0.2</v>
      </c>
      <c r="B29" s="52">
        <f>IFERROR(0.2/(IFERROR(('1. Setup'!$B$15-'1. Setup'!$B$22-'1. Setup'!$B$30)/'1. Setup'!$B$15,0.3)+0.2),0)</f>
        <v/>
      </c>
      <c r="C29" s="52" t="n"/>
    </row>
    <row r="31" ht="20" customHeight="1">
      <c r="A31" s="18" t="inlineStr">
        <is>
          <t>◆ Md Kamrul Hasan  ·  https://github.com/Kamrul5242  ·  Digital Signature MKH-EBIC-2.2.2  ·  Attribution required under MIT License</t>
        </is>
      </c>
    </row>
  </sheetData>
  <mergeCells count="11">
    <mergeCell ref="A24:F24"/>
    <mergeCell ref="A2:F2"/>
    <mergeCell ref="A11:F11"/>
    <mergeCell ref="B29:C29"/>
    <mergeCell ref="B25:C25"/>
    <mergeCell ref="A1:F1"/>
    <mergeCell ref="B28:C28"/>
    <mergeCell ref="A31:F31"/>
    <mergeCell ref="A4:F4"/>
    <mergeCell ref="B26:C26"/>
    <mergeCell ref="B27:C27"/>
  </mergeCells>
  <conditionalFormatting sqref="B22:D22">
    <cfRule type="cellIs" priority="1" operator="equal" dxfId="0">
      <formula>"LOSS"</formula>
    </cfRule>
    <cfRule type="cellIs" priority="2" operator="equal" dxfId="1">
      <formula>"PROFIT"</formula>
    </cfRule>
  </conditionalFormatting>
  <pageMargins left="0.2" right="0.2" top="0.2" bottom="0.2" header="0" footer="0"/>
  <pageSetup orientation="landscape" fitToHeight="1" fitToWidth="1"/>
</worksheet>
</file>

<file path=xl/worksheets/sheet5.xml><?xml version="1.0" encoding="utf-8"?>
<worksheet xmlns="http://schemas.openxmlformats.org/spreadsheetml/2006/main">
  <sheetPr>
    <tabColor rgb="001B3A57"/>
    <outlinePr summaryBelow="1" summaryRight="1"/>
    <pageSetUpPr fitToPage="1"/>
  </sheetPr>
  <dimension ref="A1:M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30" customHeight="1">
      <c r="A1" s="1" t="inlineStr">
        <is>
          <t>12-MONTH TREND</t>
        </is>
      </c>
    </row>
    <row r="2" ht="18" customHeight="1">
      <c r="A2" s="2" t="inlineStr">
        <is>
          <t>One column per month. Fill the yellow rows; the rest calculates. A single month cannot tell you whether a business is improving.</t>
        </is>
      </c>
    </row>
    <row r="4">
      <c r="A4" s="24" t="inlineStr">
        <is>
          <t>Line item</t>
        </is>
      </c>
      <c r="B4" s="24" t="inlineStr">
        <is>
          <t>M1</t>
        </is>
      </c>
      <c r="C4" s="24" t="inlineStr">
        <is>
          <t>M2</t>
        </is>
      </c>
      <c r="D4" s="24" t="inlineStr">
        <is>
          <t>M3</t>
        </is>
      </c>
      <c r="E4" s="24" t="inlineStr">
        <is>
          <t>M4</t>
        </is>
      </c>
      <c r="F4" s="24" t="inlineStr">
        <is>
          <t>M5</t>
        </is>
      </c>
      <c r="G4" s="24" t="inlineStr">
        <is>
          <t>M6</t>
        </is>
      </c>
      <c r="H4" s="24" t="inlineStr">
        <is>
          <t>M7</t>
        </is>
      </c>
      <c r="I4" s="24" t="inlineStr">
        <is>
          <t>M8</t>
        </is>
      </c>
      <c r="J4" s="24" t="inlineStr">
        <is>
          <t>M9</t>
        </is>
      </c>
      <c r="K4" s="24" t="inlineStr">
        <is>
          <t>M10</t>
        </is>
      </c>
      <c r="L4" s="24" t="inlineStr">
        <is>
          <t>M11</t>
        </is>
      </c>
      <c r="M4" s="24" t="inlineStr">
        <is>
          <t>M12</t>
        </is>
      </c>
    </row>
    <row r="5">
      <c r="A5" s="53" t="inlineStr">
        <is>
          <t>Net Revenue</t>
        </is>
      </c>
      <c r="B5" s="26" t="n"/>
      <c r="C5" s="26" t="n"/>
      <c r="D5" s="26" t="n"/>
      <c r="E5" s="26" t="n"/>
      <c r="F5" s="26" t="n"/>
      <c r="G5" s="26" t="n"/>
      <c r="H5" s="26" t="n"/>
      <c r="I5" s="26" t="n"/>
      <c r="J5" s="26" t="n"/>
      <c r="K5" s="26" t="n"/>
      <c r="L5" s="26" t="n"/>
      <c r="M5" s="26" t="n"/>
    </row>
    <row r="6">
      <c r="A6" s="53" t="inlineStr">
        <is>
          <t>COGS</t>
        </is>
      </c>
      <c r="B6" s="26" t="n"/>
      <c r="C6" s="26" t="n"/>
      <c r="D6" s="26" t="n"/>
      <c r="E6" s="26" t="n"/>
      <c r="F6" s="26" t="n"/>
      <c r="G6" s="26" t="n"/>
      <c r="H6" s="26" t="n"/>
      <c r="I6" s="26" t="n"/>
      <c r="J6" s="26" t="n"/>
      <c r="K6" s="26" t="n"/>
      <c r="L6" s="26" t="n"/>
      <c r="M6" s="26" t="n"/>
    </row>
    <row r="7">
      <c r="A7" s="53" t="inlineStr">
        <is>
          <t>Variable Costs (shipping, gateway, RTO)</t>
        </is>
      </c>
      <c r="B7" s="26" t="n"/>
      <c r="C7" s="26" t="n"/>
      <c r="D7" s="26" t="n"/>
      <c r="E7" s="26" t="n"/>
      <c r="F7" s="26" t="n"/>
      <c r="G7" s="26" t="n"/>
      <c r="H7" s="26" t="n"/>
      <c r="I7" s="26" t="n"/>
      <c r="J7" s="26" t="n"/>
      <c r="K7" s="26" t="n"/>
      <c r="L7" s="26" t="n"/>
      <c r="M7" s="26" t="n"/>
    </row>
    <row r="8">
      <c r="A8" s="53" t="inlineStr">
        <is>
          <t>Ad Spend</t>
        </is>
      </c>
      <c r="B8" s="26" t="n"/>
      <c r="C8" s="26" t="n"/>
      <c r="D8" s="26" t="n"/>
      <c r="E8" s="26" t="n"/>
      <c r="F8" s="26" t="n"/>
      <c r="G8" s="26" t="n"/>
      <c r="H8" s="26" t="n"/>
      <c r="I8" s="26" t="n"/>
      <c r="J8" s="26" t="n"/>
      <c r="K8" s="26" t="n"/>
      <c r="L8" s="26" t="n"/>
      <c r="M8" s="26" t="n"/>
    </row>
    <row r="9">
      <c r="A9" s="53" t="inlineStr">
        <is>
          <t>Fixed Operating Costs</t>
        </is>
      </c>
      <c r="B9" s="26" t="n"/>
      <c r="C9" s="26" t="n"/>
      <c r="D9" s="26" t="n"/>
      <c r="E9" s="26" t="n"/>
      <c r="F9" s="26" t="n"/>
      <c r="G9" s="26" t="n"/>
      <c r="H9" s="26" t="n"/>
      <c r="I9" s="26" t="n"/>
      <c r="J9" s="26" t="n"/>
      <c r="K9" s="26" t="n"/>
      <c r="L9" s="26" t="n"/>
      <c r="M9" s="26" t="n"/>
    </row>
    <row r="10" ht="22" customHeight="1">
      <c r="A10" s="3" t="inlineStr">
        <is>
          <t>CALCULATED</t>
        </is>
      </c>
    </row>
    <row r="11">
      <c r="A11" s="54" t="inlineStr">
        <is>
          <t>Contribution</t>
        </is>
      </c>
      <c r="B11" s="55">
        <f>B5-B6-B7</f>
        <v/>
      </c>
      <c r="C11" s="55">
        <f>C5-C6-C7</f>
        <v/>
      </c>
      <c r="D11" s="55">
        <f>D5-D6-D7</f>
        <v/>
      </c>
      <c r="E11" s="55">
        <f>E5-E6-E7</f>
        <v/>
      </c>
      <c r="F11" s="55">
        <f>F5-F6-F7</f>
        <v/>
      </c>
      <c r="G11" s="55">
        <f>G5-G6-G7</f>
        <v/>
      </c>
      <c r="H11" s="55">
        <f>H5-H6-H7</f>
        <v/>
      </c>
      <c r="I11" s="55">
        <f>I5-I6-I7</f>
        <v/>
      </c>
      <c r="J11" s="55">
        <f>J5-J6-J7</f>
        <v/>
      </c>
      <c r="K11" s="55">
        <f>K5-K6-K7</f>
        <v/>
      </c>
      <c r="L11" s="55">
        <f>L5-L6-L7</f>
        <v/>
      </c>
      <c r="M11" s="55">
        <f>M5-M6-M7</f>
        <v/>
      </c>
    </row>
    <row r="12">
      <c r="A12" s="54" t="inlineStr">
        <is>
          <t>Contribution Margin %</t>
        </is>
      </c>
      <c r="B12" s="56">
        <f>IFERROR(B11/B5,"")</f>
        <v/>
      </c>
      <c r="C12" s="56">
        <f>IFERROR(C11/C5,"")</f>
        <v/>
      </c>
      <c r="D12" s="56">
        <f>IFERROR(D11/D5,"")</f>
        <v/>
      </c>
      <c r="E12" s="56">
        <f>IFERROR(E11/E5,"")</f>
        <v/>
      </c>
      <c r="F12" s="56">
        <f>IFERROR(F11/F5,"")</f>
        <v/>
      </c>
      <c r="G12" s="56">
        <f>IFERROR(G11/G5,"")</f>
        <v/>
      </c>
      <c r="H12" s="56">
        <f>IFERROR(H11/H5,"")</f>
        <v/>
      </c>
      <c r="I12" s="56">
        <f>IFERROR(I11/I5,"")</f>
        <v/>
      </c>
      <c r="J12" s="56">
        <f>IFERROR(J11/J5,"")</f>
        <v/>
      </c>
      <c r="K12" s="56">
        <f>IFERROR(K11/K5,"")</f>
        <v/>
      </c>
      <c r="L12" s="56">
        <f>IFERROR(L11/L5,"")</f>
        <v/>
      </c>
      <c r="M12" s="56">
        <f>IFERROR(M11/M5,"")</f>
        <v/>
      </c>
    </row>
    <row r="13">
      <c r="A13" s="54" t="inlineStr">
        <is>
          <t>Operating Profit</t>
        </is>
      </c>
      <c r="B13" s="55">
        <f>B11-B8-B9</f>
        <v/>
      </c>
      <c r="C13" s="55">
        <f>C11-C8-C9</f>
        <v/>
      </c>
      <c r="D13" s="55">
        <f>D11-D8-D9</f>
        <v/>
      </c>
      <c r="E13" s="55">
        <f>E11-E8-E9</f>
        <v/>
      </c>
      <c r="F13" s="55">
        <f>F11-F8-F9</f>
        <v/>
      </c>
      <c r="G13" s="55">
        <f>G11-G8-G9</f>
        <v/>
      </c>
      <c r="H13" s="55">
        <f>H11-H8-H9</f>
        <v/>
      </c>
      <c r="I13" s="55">
        <f>I11-I8-I9</f>
        <v/>
      </c>
      <c r="J13" s="55">
        <f>J11-J8-J9</f>
        <v/>
      </c>
      <c r="K13" s="55">
        <f>K11-K8-K9</f>
        <v/>
      </c>
      <c r="L13" s="55">
        <f>L11-L8-L9</f>
        <v/>
      </c>
      <c r="M13" s="55">
        <f>M11-M8-M9</f>
        <v/>
      </c>
    </row>
    <row r="14">
      <c r="A14" s="54" t="inlineStr">
        <is>
          <t>Operating Margin %</t>
        </is>
      </c>
      <c r="B14" s="56">
        <f>IFERROR(B13/B5,"")</f>
        <v/>
      </c>
      <c r="C14" s="56">
        <f>IFERROR(C13/C5,"")</f>
        <v/>
      </c>
      <c r="D14" s="56">
        <f>IFERROR(D13/D5,"")</f>
        <v/>
      </c>
      <c r="E14" s="56">
        <f>IFERROR(E13/E5,"")</f>
        <v/>
      </c>
      <c r="F14" s="56">
        <f>IFERROR(F13/F5,"")</f>
        <v/>
      </c>
      <c r="G14" s="56">
        <f>IFERROR(G13/G5,"")</f>
        <v/>
      </c>
      <c r="H14" s="56">
        <f>IFERROR(H13/H5,"")</f>
        <v/>
      </c>
      <c r="I14" s="56">
        <f>IFERROR(I13/I5,"")</f>
        <v/>
      </c>
      <c r="J14" s="56">
        <f>IFERROR(J13/J5,"")</f>
        <v/>
      </c>
      <c r="K14" s="56">
        <f>IFERROR(K13/K5,"")</f>
        <v/>
      </c>
      <c r="L14" s="56">
        <f>IFERROR(L13/L5,"")</f>
        <v/>
      </c>
      <c r="M14" s="56">
        <f>IFERROR(M13/M5,"")</f>
        <v/>
      </c>
    </row>
    <row r="15">
      <c r="A15" s="54" t="inlineStr">
        <is>
          <t>Cumulative Operating Profit</t>
        </is>
      </c>
      <c r="B15" s="55">
        <f>B13</f>
        <v/>
      </c>
      <c r="C15" s="55">
        <f>B15+C13</f>
        <v/>
      </c>
      <c r="D15" s="55">
        <f>C15+D13</f>
        <v/>
      </c>
      <c r="E15" s="55">
        <f>D15+E13</f>
        <v/>
      </c>
      <c r="F15" s="55">
        <f>E15+F13</f>
        <v/>
      </c>
      <c r="G15" s="55">
        <f>F15+G13</f>
        <v/>
      </c>
      <c r="H15" s="55">
        <f>G15+H13</f>
        <v/>
      </c>
      <c r="I15" s="55">
        <f>H15+I13</f>
        <v/>
      </c>
      <c r="J15" s="55">
        <f>I15+J13</f>
        <v/>
      </c>
      <c r="K15" s="55">
        <f>J15+K13</f>
        <v/>
      </c>
      <c r="L15" s="55">
        <f>K15+L13</f>
        <v/>
      </c>
      <c r="M15" s="55">
        <f>L15+M13</f>
        <v/>
      </c>
    </row>
    <row r="16">
      <c r="A16" s="54" t="inlineStr">
        <is>
          <t>Revenue Growth vs Prior Month %</t>
        </is>
      </c>
      <c r="B16" s="56" t="inlineStr"/>
      <c r="C16" s="56">
        <f>IFERROR(C5/B5-1,"")</f>
        <v/>
      </c>
      <c r="D16" s="56">
        <f>IFERROR(D5/C5-1,"")</f>
        <v/>
      </c>
      <c r="E16" s="56">
        <f>IFERROR(E5/D5-1,"")</f>
        <v/>
      </c>
      <c r="F16" s="56">
        <f>IFERROR(F5/E5-1,"")</f>
        <v/>
      </c>
      <c r="G16" s="56">
        <f>IFERROR(G5/F5-1,"")</f>
        <v/>
      </c>
      <c r="H16" s="56">
        <f>IFERROR(H5/G5-1,"")</f>
        <v/>
      </c>
      <c r="I16" s="56">
        <f>IFERROR(I5/H5-1,"")</f>
        <v/>
      </c>
      <c r="J16" s="56">
        <f>IFERROR(J5/I5-1,"")</f>
        <v/>
      </c>
      <c r="K16" s="56">
        <f>IFERROR(K5/J5-1,"")</f>
        <v/>
      </c>
      <c r="L16" s="56">
        <f>IFERROR(L5/K5-1,"")</f>
        <v/>
      </c>
      <c r="M16" s="56">
        <f>IFERROR(M5/L5-1,"")</f>
        <v/>
      </c>
    </row>
    <row r="18" ht="22" customHeight="1">
      <c r="A18" s="3" t="inlineStr">
        <is>
          <t>REVENUE AND OPERATING PROFIT BY MONTH</t>
        </is>
      </c>
    </row>
    <row r="37">
      <c r="A37" s="57" t="inlineStr">
        <is>
          <t>Read the direction, not the level. Three months of falling contribution margin is a structural problem; one month is noise.</t>
        </is>
      </c>
      <c r="B37" s="57" t="n"/>
      <c r="C37" s="57" t="n"/>
      <c r="D37" s="57" t="n"/>
      <c r="E37" s="57" t="n"/>
      <c r="F37" s="57" t="n"/>
      <c r="G37" s="57" t="n"/>
      <c r="H37" s="57" t="n"/>
      <c r="I37" s="57" t="n"/>
      <c r="J37" s="57" t="n"/>
      <c r="K37" s="57" t="n"/>
      <c r="L37" s="57" t="n"/>
      <c r="M37" s="57" t="n"/>
    </row>
    <row r="39" ht="20" customHeight="1">
      <c r="A39" s="18" t="inlineStr">
        <is>
          <t>◆ Md Kamrul Hasan  ·  https://github.com/Kamrul5242  ·  Digital Signature MKH-EBIC-2.2.2  ·  Attribution required under MIT License</t>
        </is>
      </c>
    </row>
  </sheetData>
  <mergeCells count="5">
    <mergeCell ref="A1:M1"/>
    <mergeCell ref="A18:M18"/>
    <mergeCell ref="A39:M39"/>
    <mergeCell ref="A2:M2"/>
    <mergeCell ref="A10:M10"/>
  </mergeCells>
  <conditionalFormatting sqref="B13:M13">
    <cfRule type="cellIs" priority="1" operator="lessThan" dxfId="2">
      <formula>0</formula>
    </cfRule>
  </conditionalFormatting>
  <pageMargins left="0.2" right="0.2" top="0.2" bottom="0.2" header="0" footer="0"/>
  <pageSetup orientation="landscape" fitToHeight="1" fitToWidth="1"/>
  <drawing xmlns:r="http://schemas.openxmlformats.org/officeDocument/2006/relationships" r:id="rId1"/>
</worksheet>
</file>

<file path=xl/worksheets/sheet6.xml><?xml version="1.0" encoding="utf-8"?>
<worksheet xmlns="http://schemas.openxmlformats.org/spreadsheetml/2006/main">
  <sheetPr>
    <tabColor rgb="00C7D0D9"/>
    <outlinePr summaryBelow="1" summaryRight="1"/>
    <pageSetUpPr fitToPage="1"/>
  </sheetPr>
  <dimension ref="A1:D35"/>
  <sheetViews>
    <sheetView showGridLines="0" workbookViewId="0">
      <selection activeCell="A1" sqref="A1"/>
    </sheetView>
  </sheetViews>
  <sheetFormatPr baseColWidth="8" defaultRowHeight="15"/>
  <cols>
    <col width="10" customWidth="1" min="1" max="1"/>
    <col width="10" customWidth="1" min="2" max="2"/>
    <col width="26" customWidth="1" min="3" max="3"/>
    <col width="10" customWidth="1" min="4" max="4"/>
  </cols>
  <sheetData>
    <row r="1">
      <c r="A1" s="24" t="inlineStr">
        <is>
          <t>Code</t>
        </is>
      </c>
      <c r="B1" s="24" t="inlineStr">
        <is>
          <t>Symbol</t>
        </is>
      </c>
      <c r="C1" s="24" t="inlineStr">
        <is>
          <t>Name</t>
        </is>
      </c>
      <c r="D1" s="24" t="inlineStr">
        <is>
          <t>Decimals</t>
        </is>
      </c>
    </row>
    <row r="2">
      <c r="A2" s="15" t="inlineStr">
        <is>
          <t>BDT</t>
        </is>
      </c>
      <c r="B2" s="15" t="inlineStr">
        <is>
          <t>৳</t>
        </is>
      </c>
      <c r="C2" s="15" t="inlineStr">
        <is>
          <t>Bangladeshi Taka</t>
        </is>
      </c>
      <c r="D2" s="15" t="n">
        <v>2</v>
      </c>
    </row>
    <row r="3">
      <c r="A3" s="15" t="inlineStr">
        <is>
          <t>INR</t>
        </is>
      </c>
      <c r="B3" s="15" t="inlineStr">
        <is>
          <t>₹</t>
        </is>
      </c>
      <c r="C3" s="15" t="inlineStr">
        <is>
          <t>Indian Rupee</t>
        </is>
      </c>
      <c r="D3" s="15" t="n">
        <v>2</v>
      </c>
    </row>
    <row r="4">
      <c r="A4" s="15" t="inlineStr">
        <is>
          <t>PKR</t>
        </is>
      </c>
      <c r="B4" s="15" t="inlineStr">
        <is>
          <t>₨</t>
        </is>
      </c>
      <c r="C4" s="15" t="inlineStr">
        <is>
          <t>Pakistani Rupee</t>
        </is>
      </c>
      <c r="D4" s="15" t="n">
        <v>2</v>
      </c>
    </row>
    <row r="5">
      <c r="A5" s="15" t="inlineStr">
        <is>
          <t>LKR</t>
        </is>
      </c>
      <c r="B5" s="15" t="inlineStr">
        <is>
          <t>Rs</t>
        </is>
      </c>
      <c r="C5" s="15" t="inlineStr">
        <is>
          <t>Sri Lankan Rupee</t>
        </is>
      </c>
      <c r="D5" s="15" t="n">
        <v>2</v>
      </c>
    </row>
    <row r="6">
      <c r="A6" s="15" t="inlineStr">
        <is>
          <t>NPR</t>
        </is>
      </c>
      <c r="B6" s="15" t="inlineStr">
        <is>
          <t>रू</t>
        </is>
      </c>
      <c r="C6" s="15" t="inlineStr">
        <is>
          <t>Nepalese Rupee</t>
        </is>
      </c>
      <c r="D6" s="15" t="n">
        <v>2</v>
      </c>
    </row>
    <row r="7">
      <c r="A7" s="15" t="inlineStr">
        <is>
          <t>USD</t>
        </is>
      </c>
      <c r="B7" s="15" t="inlineStr">
        <is>
          <t>$</t>
        </is>
      </c>
      <c r="C7" s="15" t="inlineStr">
        <is>
          <t>US Dollar</t>
        </is>
      </c>
      <c r="D7" s="15" t="n">
        <v>2</v>
      </c>
    </row>
    <row r="8">
      <c r="A8" s="15" t="inlineStr">
        <is>
          <t>EUR</t>
        </is>
      </c>
      <c r="B8" s="15" t="inlineStr">
        <is>
          <t>€</t>
        </is>
      </c>
      <c r="C8" s="15" t="inlineStr">
        <is>
          <t>Euro</t>
        </is>
      </c>
      <c r="D8" s="15" t="n">
        <v>2</v>
      </c>
    </row>
    <row r="9">
      <c r="A9" s="15" t="inlineStr">
        <is>
          <t>GBP</t>
        </is>
      </c>
      <c r="B9" s="15" t="inlineStr">
        <is>
          <t>£</t>
        </is>
      </c>
      <c r="C9" s="15" t="inlineStr">
        <is>
          <t>Pound Sterling</t>
        </is>
      </c>
      <c r="D9" s="15" t="n">
        <v>2</v>
      </c>
    </row>
    <row r="10">
      <c r="A10" s="15" t="inlineStr">
        <is>
          <t>CAD</t>
        </is>
      </c>
      <c r="B10" s="15" t="inlineStr">
        <is>
          <t>C$</t>
        </is>
      </c>
      <c r="C10" s="15" t="inlineStr">
        <is>
          <t>Canadian Dollar</t>
        </is>
      </c>
      <c r="D10" s="15" t="n">
        <v>2</v>
      </c>
    </row>
    <row r="11">
      <c r="A11" s="15" t="inlineStr">
        <is>
          <t>AUD</t>
        </is>
      </c>
      <c r="B11" s="15" t="inlineStr">
        <is>
          <t>A$</t>
        </is>
      </c>
      <c r="C11" s="15" t="inlineStr">
        <is>
          <t>Australian Dollar</t>
        </is>
      </c>
      <c r="D11" s="15" t="n">
        <v>2</v>
      </c>
    </row>
    <row r="12">
      <c r="A12" s="15" t="inlineStr">
        <is>
          <t>AED</t>
        </is>
      </c>
      <c r="B12" s="15" t="inlineStr">
        <is>
          <t>د.إ</t>
        </is>
      </c>
      <c r="C12" s="15" t="inlineStr">
        <is>
          <t>UAE Dirham</t>
        </is>
      </c>
      <c r="D12" s="15" t="n">
        <v>2</v>
      </c>
    </row>
    <row r="13">
      <c r="A13" s="15" t="inlineStr">
        <is>
          <t>SAR</t>
        </is>
      </c>
      <c r="B13" s="15" t="inlineStr">
        <is>
          <t>SR</t>
        </is>
      </c>
      <c r="C13" s="15" t="inlineStr">
        <is>
          <t>Saudi Riyal</t>
        </is>
      </c>
      <c r="D13" s="15" t="n">
        <v>2</v>
      </c>
    </row>
    <row r="14">
      <c r="A14" s="15" t="inlineStr">
        <is>
          <t>QAR</t>
        </is>
      </c>
      <c r="B14" s="15" t="inlineStr">
        <is>
          <t>QR</t>
        </is>
      </c>
      <c r="C14" s="15" t="inlineStr">
        <is>
          <t>Qatari Riyal</t>
        </is>
      </c>
      <c r="D14" s="15" t="n">
        <v>2</v>
      </c>
    </row>
    <row r="15">
      <c r="A15" s="15" t="inlineStr">
        <is>
          <t>KWD</t>
        </is>
      </c>
      <c r="B15" s="15" t="inlineStr">
        <is>
          <t>KD</t>
        </is>
      </c>
      <c r="C15" s="15" t="inlineStr">
        <is>
          <t>Kuwaiti Dinar</t>
        </is>
      </c>
      <c r="D15" s="15" t="n">
        <v>3</v>
      </c>
    </row>
    <row r="16">
      <c r="A16" s="15" t="inlineStr">
        <is>
          <t>BHD</t>
        </is>
      </c>
      <c r="B16" s="15" t="inlineStr">
        <is>
          <t>BD</t>
        </is>
      </c>
      <c r="C16" s="15" t="inlineStr">
        <is>
          <t>Bahraini Dinar</t>
        </is>
      </c>
      <c r="D16" s="15" t="n">
        <v>3</v>
      </c>
    </row>
    <row r="17">
      <c r="A17" s="15" t="inlineStr">
        <is>
          <t>OMR</t>
        </is>
      </c>
      <c r="B17" s="15" t="inlineStr">
        <is>
          <t>OR</t>
        </is>
      </c>
      <c r="C17" s="15" t="inlineStr">
        <is>
          <t>Omani Rial</t>
        </is>
      </c>
      <c r="D17" s="15" t="n">
        <v>3</v>
      </c>
    </row>
    <row r="18">
      <c r="A18" s="15" t="inlineStr">
        <is>
          <t>MYR</t>
        </is>
      </c>
      <c r="B18" s="15" t="inlineStr">
        <is>
          <t>RM</t>
        </is>
      </c>
      <c r="C18" s="15" t="inlineStr">
        <is>
          <t>Malaysian Ringgit</t>
        </is>
      </c>
      <c r="D18" s="15" t="n">
        <v>2</v>
      </c>
    </row>
    <row r="19">
      <c r="A19" s="15" t="inlineStr">
        <is>
          <t>SGD</t>
        </is>
      </c>
      <c r="B19" s="15" t="inlineStr">
        <is>
          <t>S$</t>
        </is>
      </c>
      <c r="C19" s="15" t="inlineStr">
        <is>
          <t>Singapore Dollar</t>
        </is>
      </c>
      <c r="D19" s="15" t="n">
        <v>2</v>
      </c>
    </row>
    <row r="20">
      <c r="A20" s="15" t="inlineStr">
        <is>
          <t>THB</t>
        </is>
      </c>
      <c r="B20" s="15" t="inlineStr">
        <is>
          <t>฿</t>
        </is>
      </c>
      <c r="C20" s="15" t="inlineStr">
        <is>
          <t>Thai Baht</t>
        </is>
      </c>
      <c r="D20" s="15" t="n">
        <v>2</v>
      </c>
    </row>
    <row r="21">
      <c r="A21" s="15" t="inlineStr">
        <is>
          <t>IDR</t>
        </is>
      </c>
      <c r="B21" s="15" t="inlineStr">
        <is>
          <t>Rp</t>
        </is>
      </c>
      <c r="C21" s="15" t="inlineStr">
        <is>
          <t>Indonesian Rupiah</t>
        </is>
      </c>
      <c r="D21" s="15" t="n">
        <v>0</v>
      </c>
    </row>
    <row r="22">
      <c r="A22" s="15" t="inlineStr">
        <is>
          <t>VND</t>
        </is>
      </c>
      <c r="B22" s="15" t="inlineStr">
        <is>
          <t>₫</t>
        </is>
      </c>
      <c r="C22" s="15" t="inlineStr">
        <is>
          <t>Vietnamese Dong</t>
        </is>
      </c>
      <c r="D22" s="15" t="n">
        <v>0</v>
      </c>
    </row>
    <row r="23">
      <c r="A23" s="15" t="inlineStr">
        <is>
          <t>PHP</t>
        </is>
      </c>
      <c r="B23" s="15" t="inlineStr">
        <is>
          <t>₱</t>
        </is>
      </c>
      <c r="C23" s="15" t="inlineStr">
        <is>
          <t>Philippine Peso</t>
        </is>
      </c>
      <c r="D23" s="15" t="n">
        <v>2</v>
      </c>
    </row>
    <row r="24">
      <c r="A24" s="15" t="inlineStr">
        <is>
          <t>CNY</t>
        </is>
      </c>
      <c r="B24" s="15" t="inlineStr">
        <is>
          <t>CN¥</t>
        </is>
      </c>
      <c r="C24" s="15" t="inlineStr">
        <is>
          <t>Chinese Yuan</t>
        </is>
      </c>
      <c r="D24" s="15" t="n">
        <v>2</v>
      </c>
    </row>
    <row r="25">
      <c r="A25" s="15" t="inlineStr">
        <is>
          <t>JPY</t>
        </is>
      </c>
      <c r="B25" s="15" t="inlineStr">
        <is>
          <t>JP¥</t>
        </is>
      </c>
      <c r="C25" s="15" t="inlineStr">
        <is>
          <t>Japanese Yen</t>
        </is>
      </c>
      <c r="D25" s="15" t="n">
        <v>0</v>
      </c>
    </row>
    <row r="26">
      <c r="A26" s="15" t="inlineStr">
        <is>
          <t>KRW</t>
        </is>
      </c>
      <c r="B26" s="15" t="inlineStr">
        <is>
          <t>₩</t>
        </is>
      </c>
      <c r="C26" s="15" t="inlineStr">
        <is>
          <t>Korean Won</t>
        </is>
      </c>
      <c r="D26" s="15" t="n">
        <v>0</v>
      </c>
    </row>
    <row r="27">
      <c r="A27" s="15" t="inlineStr">
        <is>
          <t>TRY</t>
        </is>
      </c>
      <c r="B27" s="15" t="inlineStr">
        <is>
          <t>₺</t>
        </is>
      </c>
      <c r="C27" s="15" t="inlineStr">
        <is>
          <t>Turkish Lira</t>
        </is>
      </c>
      <c r="D27" s="15" t="n">
        <v>2</v>
      </c>
    </row>
    <row r="28">
      <c r="A28" s="15" t="inlineStr">
        <is>
          <t>EGP</t>
        </is>
      </c>
      <c r="B28" s="15" t="inlineStr">
        <is>
          <t>E£</t>
        </is>
      </c>
      <c r="C28" s="15" t="inlineStr">
        <is>
          <t>Egyptian Pound</t>
        </is>
      </c>
      <c r="D28" s="15" t="n">
        <v>2</v>
      </c>
    </row>
    <row r="29">
      <c r="A29" s="15" t="inlineStr">
        <is>
          <t>NGN</t>
        </is>
      </c>
      <c r="B29" s="15" t="inlineStr">
        <is>
          <t>₦</t>
        </is>
      </c>
      <c r="C29" s="15" t="inlineStr">
        <is>
          <t>Nigerian Naira</t>
        </is>
      </c>
      <c r="D29" s="15" t="n">
        <v>2</v>
      </c>
    </row>
    <row r="30">
      <c r="A30" s="15" t="inlineStr">
        <is>
          <t>ZAR</t>
        </is>
      </c>
      <c r="B30" s="15" t="inlineStr">
        <is>
          <t>R</t>
        </is>
      </c>
      <c r="C30" s="15" t="inlineStr">
        <is>
          <t>South African Rand</t>
        </is>
      </c>
      <c r="D30" s="15" t="n">
        <v>2</v>
      </c>
    </row>
    <row r="31">
      <c r="A31" s="15" t="inlineStr">
        <is>
          <t>KES</t>
        </is>
      </c>
      <c r="B31" s="15" t="inlineStr">
        <is>
          <t>KSh</t>
        </is>
      </c>
      <c r="C31" s="15" t="inlineStr">
        <is>
          <t>Kenyan Shilling</t>
        </is>
      </c>
      <c r="D31" s="15" t="n">
        <v>2</v>
      </c>
    </row>
    <row r="32">
      <c r="A32" s="15" t="inlineStr">
        <is>
          <t>BRL</t>
        </is>
      </c>
      <c r="B32" s="15" t="inlineStr">
        <is>
          <t>R$</t>
        </is>
      </c>
      <c r="C32" s="15" t="inlineStr">
        <is>
          <t>Brazilian Real</t>
        </is>
      </c>
      <c r="D32" s="15" t="n">
        <v>2</v>
      </c>
    </row>
    <row r="33">
      <c r="A33" s="15" t="inlineStr">
        <is>
          <t>MXN</t>
        </is>
      </c>
      <c r="B33" s="15" t="inlineStr">
        <is>
          <t>Mex$</t>
        </is>
      </c>
      <c r="C33" s="15" t="inlineStr">
        <is>
          <t>Mexican Peso</t>
        </is>
      </c>
      <c r="D33" s="15" t="n">
        <v>2</v>
      </c>
    </row>
    <row r="34">
      <c r="A34" s="15" t="inlineStr">
        <is>
          <t>CHF</t>
        </is>
      </c>
      <c r="B34" s="15" t="inlineStr">
        <is>
          <t>CHF</t>
        </is>
      </c>
      <c r="C34" s="15" t="inlineStr">
        <is>
          <t>Swiss Franc</t>
        </is>
      </c>
      <c r="D34" s="15" t="n">
        <v>2</v>
      </c>
    </row>
    <row r="35">
      <c r="A35" s="15" t="inlineStr">
        <is>
          <t>SEK</t>
        </is>
      </c>
      <c r="B35" s="15" t="inlineStr">
        <is>
          <t>kr</t>
        </is>
      </c>
      <c r="C35" s="15" t="inlineStr">
        <is>
          <t>Swedish Krona</t>
        </is>
      </c>
      <c r="D35" s="15" t="n">
        <v>2</v>
      </c>
    </row>
  </sheetData>
  <pageMargins left="0.2" right="0.2" top="0.2" bottom="0.2" header="0" footer="0"/>
  <pageSetup orientation="landscape" fitToHeight="1" fitToWidth="1"/>
</worksheet>
</file>

<file path=xl/worksheets/sheet7.xml><?xml version="1.0" encoding="utf-8"?>
<worksheet xmlns="http://schemas.openxmlformats.org/spreadsheetml/2006/main">
  <sheetPr>
    <tabColor rgb="002E4A63"/>
    <outlinePr summaryBelow="1" summaryRight="1"/>
    <pageSetUpPr fitToPage="1"/>
  </sheetPr>
  <dimension ref="A1:B12"/>
  <sheetViews>
    <sheetView showGridLines="0" workbookViewId="0">
      <selection activeCell="A1" sqref="A1"/>
    </sheetView>
  </sheetViews>
  <sheetFormatPr baseColWidth="8" defaultRowHeight="15"/>
  <cols>
    <col width="26" customWidth="1" min="1" max="1"/>
    <col width="62" customWidth="1" min="2" max="2"/>
  </cols>
  <sheetData>
    <row r="1" ht="30" customHeight="1">
      <c r="A1" s="1" t="inlineStr">
        <is>
          <t>DIGITAL SIGNATURE  ·  DO NOT MODIFY</t>
        </is>
      </c>
    </row>
    <row r="2"/>
    <row r="3">
      <c r="A3" s="19" t="inlineStr">
        <is>
          <t>Author</t>
        </is>
      </c>
      <c r="B3" s="58" t="inlineStr">
        <is>
          <t>Md Kamrul Hasan</t>
        </is>
      </c>
    </row>
    <row r="4">
      <c r="A4" s="19" t="inlineStr">
        <is>
          <t>GitHub</t>
        </is>
      </c>
      <c r="B4" s="58" t="inlineStr">
        <is>
          <t>https://github.com/Kamrul5242</t>
        </is>
      </c>
    </row>
    <row r="5">
      <c r="A5" s="19" t="inlineStr">
        <is>
          <t>Skill</t>
        </is>
      </c>
      <c r="B5" s="58" t="inlineStr">
        <is>
          <t>entrepreneur-business-intelligence-cfo</t>
        </is>
      </c>
    </row>
    <row r="6">
      <c r="A6" s="19" t="inlineStr">
        <is>
          <t>Version</t>
        </is>
      </c>
      <c r="B6" s="58" t="inlineStr">
        <is>
          <t>2.2.2</t>
        </is>
      </c>
    </row>
    <row r="7">
      <c r="A7" s="19" t="inlineStr">
        <is>
          <t>Signature ID</t>
        </is>
      </c>
      <c r="B7" s="58" t="inlineStr">
        <is>
          <t>MKH-EBIC-2.2.2</t>
        </is>
      </c>
    </row>
    <row r="8">
      <c r="A8" s="19" t="inlineStr">
        <is>
          <t>License</t>
        </is>
      </c>
      <c r="B8" s="58" t="inlineStr">
        <is>
          <t>MIT — attribution required</t>
        </is>
      </c>
    </row>
    <row r="9">
      <c r="A9" s="19" t="inlineStr">
        <is>
          <t>Default currency</t>
        </is>
      </c>
      <c r="B9" s="58" t="inlineStr">
        <is>
          <t>BDT (all 34 supported)</t>
        </is>
      </c>
    </row>
    <row r="10" ht="64" customHeight="1">
      <c r="A10" s="19" t="inlineStr">
        <is>
          <t>Notice</t>
        </is>
      </c>
      <c r="B10" s="58" t="inlineStr">
        <is>
          <t>This workbook and its formula design are the work of Md Kamrul Hasan. The MIT License permits reuse and modification provided this attribution is retained in all copies and substantial portions.</t>
        </is>
      </c>
    </row>
    <row r="11"/>
    <row r="12" ht="20" customHeight="1">
      <c r="A12" s="18" t="inlineStr">
        <is>
          <t>◆ Md Kamrul Hasan  ·  https://github.com/Kamrul5242  ·  Digital Signature MKH-EBIC-2.2.2  ·  Attribution required under MIT License</t>
        </is>
      </c>
    </row>
  </sheetData>
  <sheetProtection selectLockedCells="0" selectUnlockedCells="0" sheet="1" objects="0" insertRows="1" insertHyperlinks="1" autoFilter="1" scenarios="0" formatColumns="1" deleteColumns="1" insertColumns="1" pivotTables="1" deleteRows="1" formatCells="1" formatRows="1" sort="1" password="B0C5"/>
  <mergeCells count="2">
    <mergeCell ref="A1:B1"/>
    <mergeCell ref="A12:B12"/>
  </mergeCells>
  <pageMargins left="0.2" right="0.2" top="0.2" bottom="0.2" header="0" footer="0"/>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Md Kamrul Hasan</dc:creator>
  <dc:title xmlns:dc="http://purl.org/dc/elements/1.1/">CFO Premium Dashboard — Entrepreneur Business Intelligence</dc:title>
  <dc:description xmlns:dc="http://purl.org/dc/elements/1.1/">Created by Md Kamrul Hasan (https://github.com/Kamrul5242). Signature MKH-EBIC-2.2.2. MIT License — attribution required.</dc:description>
  <dc:subject xmlns:dc="http://purl.org/dc/elements/1.1/">Digital Signature MKH-EBIC-2.2.2</dc:subject>
  <dc:identifier xmlns:dc="http://purl.org/dc/elements/1.1/">MKH-EBIC-2.2.2</dc:identifier>
  <dcterms:created xmlns:dcterms="http://purl.org/dc/terms/" xmlns:xsi="http://www.w3.org/2001/XMLSchema-instance" xsi:type="dcterms:W3CDTF">2026-08-27T00:00:00Z</dcterms:created>
  <dcterms:modified xmlns:dcterms="http://purl.org/dc/terms/" xmlns:xsi="http://www.w3.org/2001/XMLSchema-instance" xsi:type="dcterms:W3CDTF">2026-08-27T00:00:00Z</dcterms:modified>
  <cp:lastModifiedBy>Md Kamrul Hasan</cp:lastModifiedBy>
  <cp:category>Financial Analysis</cp:category>
  <cp:keywords>Md Kamrul Hasan, MKH-EBIC-2.2.2, CFO, dashboard, BDT, multi-currency</cp:keywords>
</cp:coreProperties>
</file>