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Setup" sheetId="1" state="visible" r:id="rId1"/>
    <sheet xmlns:r="http://schemas.openxmlformats.org/officeDocument/2006/relationships" name="2. Dashboard" sheetId="2" state="visible" r:id="rId2"/>
    <sheet xmlns:r="http://schemas.openxmlformats.org/officeDocument/2006/relationships" name="3. Scenarios" sheetId="3" state="visible" r:id="rId3"/>
    <sheet xmlns:r="http://schemas.openxmlformats.org/officeDocument/2006/relationships" name="4. Trend" sheetId="4" state="visible" r:id="rId4"/>
    <sheet xmlns:r="http://schemas.openxmlformats.org/officeDocument/2006/relationships" name="Ref" sheetId="5" state="visible" r:id="rId5"/>
    <sheet xmlns:r="http://schemas.openxmlformats.org/officeDocument/2006/relationships" name="Signature" sheetId="6" state="visible" r:id="rId6"/>
  </sheets>
  <definedNames>
    <definedName name="_xlnm.Print_Area" localSheetId="0">'1. Setup'!$A$1:$H$70</definedName>
    <definedName name="_xlnm.Print_Area" localSheetId="1">'2. Dashboard'!$A$1:$H$70</definedName>
    <definedName name="_xlnm.Print_Area" localSheetId="2">'3. Scenarios'!$A$1:$F$35</definedName>
    <definedName name="_xlnm.Print_Area" localSheetId="3">'4. Trend'!$A$1:$M$40</definedName>
    <definedName name="_xlnm.Print_Area" localSheetId="4">'Ref'!$A$1:$D$36</definedName>
    <definedName name="_xlnm.Print_Area" localSheetId="5">'Signature'!$A$1:$B$14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17">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oto Sans,FreeSans,Arial Unicode MS,Arial"/>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s>
  <fills count="8">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s>
  <borders count="2">
    <border>
      <left/>
      <right/>
      <top/>
      <bottom/>
      <diagonal/>
    </border>
    <border>
      <left style="thin">
        <color rgb="00C7D0D9"/>
      </left>
      <right style="thin">
        <color rgb="00C7D0D9"/>
      </right>
      <top style="thin">
        <color rgb="00C7D0D9"/>
      </top>
      <bottom style="thin">
        <color rgb="00C7D0D9"/>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12" fillId="2" borderId="0" applyAlignment="1" pivotButton="0" quotePrefix="0" xfId="0">
      <alignment horizontal="center" vertical="center"/>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16" fillId="0" borderId="1"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patternType="solid">
          <fgColor rgb="00B3261E"/>
        </patternFill>
      </fill>
    </dxf>
    <dxf>
      <font>
        <name val="Arial"/>
        <b val="1"/>
        <color rgb="00FFFFFF"/>
      </font>
      <fill>
        <patternFill patternType="solid">
          <f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4" t="inlineStr">
        <is>
          <t>Select currency</t>
        </is>
      </c>
      <c r="B5" s="5" t="inlineStr">
        <is>
          <t>BDT</t>
        </is>
      </c>
    </row>
    <row r="6">
      <c r="A6" s="4" t="inlineStr">
        <is>
          <t>Symbol (auto)</t>
        </is>
      </c>
      <c r="B6" s="6">
        <f>IFERROR(INDEX(Ref!$B$2:$B$35,MATCH($B$5,Ref!$A$2:$A$35,0)),"?")</f>
        <v/>
      </c>
    </row>
    <row r="7">
      <c r="A7" s="4" t="inlineStr">
        <is>
          <t>Currency name (auto)</t>
        </is>
      </c>
      <c r="B7" s="7">
        <f>IFERROR(INDEX(Ref!$C$2:$C$35,MATCH($B$5,Ref!$A$2:$A$35,0)),"Unknown")</f>
        <v/>
      </c>
    </row>
    <row r="8">
      <c r="A8" s="4" t="inlineStr">
        <is>
          <t>Reporting period</t>
        </is>
      </c>
      <c r="B8" s="8" t="inlineStr">
        <is>
          <t>2026-03 (monthly)</t>
        </is>
      </c>
    </row>
    <row r="10" ht="22" customHeight="1">
      <c r="A10" s="3" t="inlineStr">
        <is>
          <t>INCOME  ·  enter your numbers</t>
        </is>
      </c>
    </row>
    <row r="11">
      <c r="A11" s="9" t="inlineStr">
        <is>
          <t>Line item</t>
        </is>
      </c>
      <c r="B11" s="9" t="inlineStr">
        <is>
          <t>Amount</t>
        </is>
      </c>
      <c r="C11" s="9" t="inlineStr">
        <is>
          <t>Note</t>
        </is>
      </c>
    </row>
    <row r="12">
      <c r="A12" s="10" t="inlineStr">
        <is>
          <t>Gross Revenue</t>
        </is>
      </c>
      <c r="B12" s="11" t="n">
        <v>920000</v>
      </c>
      <c r="C12" s="12" t="inlineStr">
        <is>
          <t>All sales before returns</t>
        </is>
      </c>
    </row>
    <row r="13">
      <c r="A13" s="10" t="inlineStr">
        <is>
          <t>Returns &amp; Refunds</t>
        </is>
      </c>
      <c r="B13" s="11" t="n">
        <v>70000</v>
      </c>
      <c r="C13" s="12" t="inlineStr">
        <is>
          <t>Enter positive</t>
        </is>
      </c>
    </row>
    <row r="14">
      <c r="A14" s="10" t="inlineStr">
        <is>
          <t>Discounts Given</t>
        </is>
      </c>
      <c r="B14" s="11" t="n">
        <v>0</v>
      </c>
      <c r="C14" s="12" t="inlineStr"/>
    </row>
    <row r="15">
      <c r="A15" s="13" t="inlineStr">
        <is>
          <t>NET REVENUE</t>
        </is>
      </c>
      <c r="B15" s="14">
        <f>B12-B13-B14</f>
        <v/>
      </c>
      <c r="C15" s="13" t="n"/>
    </row>
    <row r="17" ht="22" customHeight="1">
      <c r="A17" s="3" t="inlineStr">
        <is>
          <t>COST OF GOODS SOLD</t>
        </is>
      </c>
    </row>
    <row r="18">
      <c r="A18" s="9" t="inlineStr">
        <is>
          <t>Line item</t>
        </is>
      </c>
      <c r="B18" s="9" t="inlineStr">
        <is>
          <t>Amount</t>
        </is>
      </c>
      <c r="C18" s="9" t="inlineStr">
        <is>
          <t>Note</t>
        </is>
      </c>
    </row>
    <row r="19">
      <c r="A19" s="10" t="inlineStr">
        <is>
          <t>Product / Material (LANDED)</t>
        </is>
      </c>
      <c r="B19" s="11" t="n">
        <v>380000</v>
      </c>
      <c r="C19" s="12" t="inlineStr">
        <is>
          <t>incl. freight, duty, clearing</t>
        </is>
      </c>
    </row>
    <row r="20">
      <c r="A20" s="10" t="inlineStr">
        <is>
          <t>Direct Labour</t>
        </is>
      </c>
      <c r="B20" s="11" t="n">
        <v>40000</v>
      </c>
      <c r="C20" s="12" t="inlineStr">
        <is>
          <t>Production staff only</t>
        </is>
      </c>
    </row>
    <row r="21">
      <c r="A21" s="10" t="inlineStr">
        <is>
          <t>Packaging</t>
        </is>
      </c>
      <c r="B21" s="11" t="n">
        <v>22000</v>
      </c>
      <c r="C21" s="12" t="inlineStr"/>
    </row>
    <row r="22">
      <c r="A22" s="13" t="inlineStr">
        <is>
          <t>TOTAL COGS</t>
        </is>
      </c>
      <c r="B22" s="14">
        <f>SUM(B19:B21)</f>
        <v/>
      </c>
      <c r="C22" s="13" t="n"/>
    </row>
    <row r="24" ht="22" customHeight="1">
      <c r="A24" s="3" t="inlineStr">
        <is>
          <t>OTHER VARIABLE COSTS  ·  the ones founders forget</t>
        </is>
      </c>
    </row>
    <row r="25">
      <c r="A25" s="9" t="inlineStr">
        <is>
          <t>Line item</t>
        </is>
      </c>
      <c r="B25" s="9" t="inlineStr">
        <is>
          <t>Amount</t>
        </is>
      </c>
      <c r="C25" s="9" t="inlineStr">
        <is>
          <t>Note</t>
        </is>
      </c>
    </row>
    <row r="26">
      <c r="A26" s="10" t="inlineStr">
        <is>
          <t>Outbound Shipping</t>
        </is>
      </c>
      <c r="B26" s="11" t="n">
        <v>102000</v>
      </c>
      <c r="C26" s="12" t="inlineStr">
        <is>
          <t>Your share</t>
        </is>
      </c>
    </row>
    <row r="27">
      <c r="A27" s="10" t="inlineStr">
        <is>
          <t>Payment Gateway Fees</t>
        </is>
      </c>
      <c r="B27" s="11" t="n">
        <v>21250</v>
      </c>
      <c r="C27" s="12" t="inlineStr">
        <is>
          <t>% + fixed</t>
        </is>
      </c>
    </row>
    <row r="28">
      <c r="A28" s="10" t="inlineStr">
        <is>
          <t>Marketplace Commission</t>
        </is>
      </c>
      <c r="B28" s="11" t="n">
        <v>0</v>
      </c>
      <c r="C28" s="12" t="inlineStr"/>
    </row>
    <row r="29">
      <c r="A29" s="10" t="inlineStr">
        <is>
          <t>RTO / Failed Delivery</t>
        </is>
      </c>
      <c r="B29" s="11" t="n">
        <v>0</v>
      </c>
      <c r="C29" s="12" t="inlineStr">
        <is>
          <t>Two-way shipping loss</t>
        </is>
      </c>
    </row>
    <row r="30">
      <c r="A30" s="13" t="inlineStr">
        <is>
          <t>TOTAL OTHER VARIABLE</t>
        </is>
      </c>
      <c r="B30" s="14">
        <f>SUM(B26:B29)</f>
        <v/>
      </c>
      <c r="C30" s="13" t="n"/>
    </row>
    <row r="32" ht="22" customHeight="1">
      <c r="A32" s="3" t="inlineStr">
        <is>
          <t>OPERATING EXPENSES  ·  fixed</t>
        </is>
      </c>
    </row>
    <row r="33">
      <c r="A33" s="9" t="inlineStr">
        <is>
          <t>Line item</t>
        </is>
      </c>
      <c r="B33" s="9" t="inlineStr">
        <is>
          <t>Amount</t>
        </is>
      </c>
      <c r="C33" s="9" t="inlineStr">
        <is>
          <t>Note</t>
        </is>
      </c>
    </row>
    <row r="34">
      <c r="A34" s="10" t="inlineStr">
        <is>
          <t>Advertising Spend</t>
        </is>
      </c>
      <c r="B34" s="11" t="n">
        <v>240000</v>
      </c>
      <c r="C34" s="12" t="inlineStr">
        <is>
          <t>All platforms</t>
        </is>
      </c>
    </row>
    <row r="35">
      <c r="A35" s="10" t="inlineStr">
        <is>
          <t>Salaries (non-production)</t>
        </is>
      </c>
      <c r="B35" s="11" t="n">
        <v>95000</v>
      </c>
      <c r="C35" s="12" t="inlineStr"/>
    </row>
    <row r="36">
      <c r="A36" s="10" t="inlineStr">
        <is>
          <t>Owner Compensation</t>
        </is>
      </c>
      <c r="B36" s="11" t="n">
        <v>40000</v>
      </c>
      <c r="C36" s="12" t="inlineStr">
        <is>
          <t>Market rate even if unpaid</t>
        </is>
      </c>
    </row>
    <row r="37">
      <c r="A37" s="10" t="inlineStr">
        <is>
          <t>Rent</t>
        </is>
      </c>
      <c r="B37" s="11" t="n">
        <v>25000</v>
      </c>
      <c r="C37" s="12" t="inlineStr"/>
    </row>
    <row r="38">
      <c r="A38" s="10" t="inlineStr">
        <is>
          <t>Software &amp; Subscriptions</t>
        </is>
      </c>
      <c r="B38" s="11" t="n">
        <v>8000</v>
      </c>
      <c r="C38" s="12" t="inlineStr"/>
    </row>
    <row r="39">
      <c r="A39" s="10" t="inlineStr">
        <is>
          <t>Other Operating</t>
        </is>
      </c>
      <c r="B39" s="11" t="n">
        <v>12000</v>
      </c>
      <c r="C39" s="12" t="inlineStr"/>
    </row>
    <row r="40">
      <c r="A40" s="10" t="inlineStr">
        <is>
          <t>Depreciation &amp; Amortization</t>
        </is>
      </c>
      <c r="B40" s="11" t="n">
        <v>0</v>
      </c>
      <c r="C40" s="12" t="inlineStr">
        <is>
          <t>Non-cash</t>
        </is>
      </c>
    </row>
    <row r="41">
      <c r="A41" s="13" t="inlineStr">
        <is>
          <t>TOTAL OPEX</t>
        </is>
      </c>
      <c r="B41" s="14">
        <f>SUM(B34:B40)</f>
        <v/>
      </c>
      <c r="C41" s="13" t="n"/>
    </row>
    <row r="43" ht="22" customHeight="1">
      <c r="A43" s="3" t="inlineStr">
        <is>
          <t>BELOW THE LINE  ·  and cash-only items</t>
        </is>
      </c>
    </row>
    <row r="44">
      <c r="A44" s="9" t="inlineStr">
        <is>
          <t>Line item</t>
        </is>
      </c>
      <c r="B44" s="9" t="inlineStr">
        <is>
          <t>Amount</t>
        </is>
      </c>
      <c r="C44" s="9" t="inlineStr">
        <is>
          <t>Note</t>
        </is>
      </c>
    </row>
    <row r="45">
      <c r="A45" s="10" t="inlineStr">
        <is>
          <t>Interest Expense</t>
        </is>
      </c>
      <c r="B45" s="11" t="n">
        <v>12000</v>
      </c>
      <c r="C45" s="12" t="inlineStr">
        <is>
          <t>P&amp;L item</t>
        </is>
      </c>
    </row>
    <row r="46">
      <c r="A46" s="10" t="inlineStr">
        <is>
          <t>Tax</t>
        </is>
      </c>
      <c r="B46" s="11" t="n">
        <v>0</v>
      </c>
      <c r="C46" s="12" t="inlineStr"/>
    </row>
    <row r="47">
      <c r="A47" s="10" t="inlineStr">
        <is>
          <t>Loan Principal Repaid</t>
        </is>
      </c>
      <c r="B47" s="11" t="n">
        <v>35000</v>
      </c>
      <c r="C47" s="12" t="inlineStr">
        <is>
          <t>CASH ONLY — not a P&amp;L expense</t>
        </is>
      </c>
    </row>
    <row r="48">
      <c r="A48" s="10" t="inlineStr">
        <is>
          <t>Capital Expenditure</t>
        </is>
      </c>
      <c r="B48" s="11" t="n">
        <v>0</v>
      </c>
      <c r="C48" s="12" t="inlineStr">
        <is>
          <t>Cash only</t>
        </is>
      </c>
    </row>
    <row r="49">
      <c r="A49" s="10" t="inlineStr">
        <is>
          <t>Owner Drawings</t>
        </is>
      </c>
      <c r="B49" s="11" t="n">
        <v>60000</v>
      </c>
      <c r="C49" s="12" t="inlineStr">
        <is>
          <t>CASH ONLY — not a P&amp;L expense</t>
        </is>
      </c>
    </row>
    <row r="51" ht="22" customHeight="1">
      <c r="A51" s="3" t="inlineStr">
        <is>
          <t>OPERATIONS &amp; BALANCE  ·  for unit economics and cash cycle</t>
        </is>
      </c>
    </row>
    <row r="52">
      <c r="A52" s="9" t="inlineStr">
        <is>
          <t>Line item</t>
        </is>
      </c>
      <c r="B52" s="9" t="inlineStr">
        <is>
          <t>Value</t>
        </is>
      </c>
      <c r="C52" s="9" t="inlineStr">
        <is>
          <t>Note</t>
        </is>
      </c>
    </row>
    <row r="53">
      <c r="A53" s="10" t="inlineStr">
        <is>
          <t>Number of Orders</t>
        </is>
      </c>
      <c r="B53" s="15" t="n">
        <v>1700</v>
      </c>
      <c r="C53" s="12" t="inlineStr">
        <is>
          <t>count</t>
        </is>
      </c>
    </row>
    <row r="54">
      <c r="A54" s="10" t="inlineStr">
        <is>
          <t>New Customers</t>
        </is>
      </c>
      <c r="B54" s="15" t="n">
        <v>1200</v>
      </c>
      <c r="C54" s="12" t="inlineStr">
        <is>
          <t>count</t>
        </is>
      </c>
    </row>
    <row r="55">
      <c r="A55" s="10" t="inlineStr">
        <is>
          <t>Repeat Customers</t>
        </is>
      </c>
      <c r="B55" s="15" t="n">
        <v>500</v>
      </c>
      <c r="C55" s="12" t="inlineStr">
        <is>
          <t>count</t>
        </is>
      </c>
    </row>
    <row r="56">
      <c r="A56" s="10" t="inlineStr">
        <is>
          <t>Customers Lost (churn)</t>
        </is>
      </c>
      <c r="B56" s="15" t="n">
        <v>90</v>
      </c>
      <c r="C56" s="12" t="inlineStr">
        <is>
          <t>count</t>
        </is>
      </c>
    </row>
    <row r="57">
      <c r="A57" s="10" t="inlineStr">
        <is>
          <t>Customers at Period Start</t>
        </is>
      </c>
      <c r="B57" s="15" t="n">
        <v>1500</v>
      </c>
      <c r="C57" s="12" t="inlineStr">
        <is>
          <t>count</t>
        </is>
      </c>
    </row>
    <row r="58">
      <c r="A58" s="10" t="inlineStr">
        <is>
          <t>Cash &amp; Bank (closing)</t>
        </is>
      </c>
      <c r="B58" s="11" t="n">
        <v>850000</v>
      </c>
      <c r="C58" s="12" t="inlineStr"/>
    </row>
    <row r="59">
      <c r="A59" s="10" t="inlineStr">
        <is>
          <t>Accounts Receivable (avg)</t>
        </is>
      </c>
      <c r="B59" s="11" t="n">
        <v>310000</v>
      </c>
      <c r="C59" s="12" t="inlineStr"/>
    </row>
    <row r="60">
      <c r="A60" s="10" t="inlineStr">
        <is>
          <t>Inventory at Cost (avg)</t>
        </is>
      </c>
      <c r="B60" s="11" t="n">
        <v>640000</v>
      </c>
      <c r="C60" s="12" t="inlineStr"/>
    </row>
    <row r="61">
      <c r="A61" s="10" t="inlineStr">
        <is>
          <t>Accounts Payable (avg)</t>
        </is>
      </c>
      <c r="B61" s="11" t="n">
        <v>220000</v>
      </c>
      <c r="C61" s="12" t="inlineStr"/>
    </row>
    <row r="62">
      <c r="A62" s="10" t="inlineStr">
        <is>
          <t>Total Debt</t>
        </is>
      </c>
      <c r="B62" s="11" t="n">
        <v>700000</v>
      </c>
      <c r="C62" s="12" t="inlineStr"/>
    </row>
    <row r="63">
      <c r="A63" s="10" t="inlineStr">
        <is>
          <t>Current Assets</t>
        </is>
      </c>
      <c r="B63" s="11" t="n">
        <v>1800000</v>
      </c>
      <c r="C63" s="12" t="inlineStr"/>
    </row>
    <row r="64">
      <c r="A64" s="10" t="inlineStr">
        <is>
          <t>Current Liabilities</t>
        </is>
      </c>
      <c r="B64" s="11" t="n">
        <v>950000</v>
      </c>
      <c r="C64" s="12" t="inlineStr"/>
    </row>
    <row r="65">
      <c r="A65" s="10" t="inlineStr">
        <is>
          <t>Total Equity</t>
        </is>
      </c>
      <c r="B65" s="11" t="n">
        <v>1400000</v>
      </c>
      <c r="C65" s="12" t="inlineStr"/>
    </row>
    <row r="66">
      <c r="A66" s="10" t="inlineStr">
        <is>
          <t>Days in Period</t>
        </is>
      </c>
      <c r="B66" s="16" t="n">
        <v>30</v>
      </c>
      <c r="C66" s="12" t="inlineStr">
        <is>
          <t>30 / 90 / 365</t>
        </is>
      </c>
    </row>
    <row r="68" ht="28" customHeight="1">
      <c r="A68" s="17" t="inlineStr">
        <is>
          <t>LEGEND — Yellow fill + blue text = your input. Grey = calculated, do not edit. All figures in the currency chosen at B5.</t>
        </is>
      </c>
      <c r="B68" s="17" t="n"/>
      <c r="C68" s="17" t="n"/>
    </row>
    <row r="70" ht="20" customHeight="1">
      <c r="A70" s="18" t="inlineStr">
        <is>
          <t>◆ Md Kamrul Hasan  ·  https://github.com/Kamrul5242  ·  Digital Signature MKH-EBIC-2.2.0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19">
        <f>""&amp;'1. Setup'!$B$6&amp;"  ·  Period: "&amp;'1. Setup'!$B$8</f>
        <v/>
      </c>
      <c r="B3" s="20" t="n"/>
      <c r="C3" s="20" t="n"/>
      <c r="D3" s="20" t="n"/>
      <c r="E3" s="20" t="n"/>
      <c r="F3" s="20" t="n"/>
      <c r="G3" s="20" t="n"/>
      <c r="H3" s="20" t="n"/>
    </row>
    <row r="5" ht="22" customHeight="1">
      <c r="A5" s="3" t="inlineStr">
        <is>
          <t>KEY NUMBERS</t>
        </is>
      </c>
      <c r="E5" s="3" t="inlineStr">
        <is>
          <t>UNIT ECONOMICS</t>
        </is>
      </c>
    </row>
    <row r="6">
      <c r="A6" s="9" t="inlineStr">
        <is>
          <t>Metric</t>
        </is>
      </c>
      <c r="B6" s="9" t="inlineStr">
        <is>
          <t>Value</t>
        </is>
      </c>
      <c r="C6" s="9" t="inlineStr">
        <is>
          <t>Status</t>
        </is>
      </c>
      <c r="E6" s="9" t="inlineStr">
        <is>
          <t>Metric</t>
        </is>
      </c>
      <c r="F6" s="9" t="inlineStr">
        <is>
          <t>Value</t>
        </is>
      </c>
    </row>
    <row r="7">
      <c r="A7" s="4" t="inlineStr">
        <is>
          <t>Net Revenue</t>
        </is>
      </c>
      <c r="B7" s="21">
        <f>'1. Setup'!$B$15</f>
        <v/>
      </c>
      <c r="C7" s="22">
        <f>IF(B7&gt;0,"OK",IF(B7=0,"FLAT","LOSS"))</f>
        <v/>
      </c>
      <c r="E7" s="10" t="inlineStr">
        <is>
          <t>AOV</t>
        </is>
      </c>
      <c r="F7" s="23">
        <f>IFERROR('1. Setup'!$B$15/'1. Setup'!$B$53,0)</f>
        <v/>
      </c>
    </row>
    <row r="8">
      <c r="A8" s="4" t="inlineStr">
        <is>
          <t>Gross Profit</t>
        </is>
      </c>
      <c r="B8" s="21">
        <f>'1. Setup'!$B$15-'1. Setup'!$B$22</f>
        <v/>
      </c>
      <c r="C8" s="22">
        <f>IF(B8&gt;0,"OK",IF(B8=0,"FLAT","LOSS"))</f>
        <v/>
      </c>
      <c r="E8" s="10" t="inlineStr">
        <is>
          <t>Blended CAC</t>
        </is>
      </c>
      <c r="F8" s="23">
        <f>IFERROR('1. Setup'!$B$34/'1. Setup'!$B$54,0)</f>
        <v/>
      </c>
    </row>
    <row r="9">
      <c r="A9" s="4" t="inlineStr">
        <is>
          <t>Contribution (pre-ad)</t>
        </is>
      </c>
      <c r="B9" s="21">
        <f>'1. Setup'!$B$15-'1. Setup'!$B$22-'1. Setup'!$B$30</f>
        <v/>
      </c>
      <c r="C9" s="22">
        <f>IF(B9&gt;0,"OK",IF(B9=0,"FLAT","LOSS"))</f>
        <v/>
      </c>
      <c r="E9" s="10" t="inlineStr">
        <is>
          <t>CM per order</t>
        </is>
      </c>
      <c r="F9" s="23">
        <f>IFERROR(('1. Setup'!$B$15-'1. Setup'!$B$22-'1. Setup'!$B$30-'1. Setup'!$B$34)/'1. Setup'!$B$53,0)</f>
        <v/>
      </c>
    </row>
    <row r="10">
      <c r="A10" s="4" t="inlineStr">
        <is>
          <t>CM after Ads</t>
        </is>
      </c>
      <c r="B10" s="21">
        <f>'1. Setup'!$B$15-'1. Setup'!$B$22-'1. Setup'!$B$30-'1. Setup'!$B$34</f>
        <v/>
      </c>
      <c r="C10" s="22">
        <f>IF(B10&gt;0,"OK",IF(B10=0,"FLAT","LOSS"))</f>
        <v/>
      </c>
      <c r="E10" s="10" t="inlineStr">
        <is>
          <t>CM ratio (pre-ad)</t>
        </is>
      </c>
      <c r="F10" s="24">
        <f>IFERROR(('1. Setup'!$B$15-'1. Setup'!$B$22-'1. Setup'!$B$30)/'1. Setup'!$B$15,0)</f>
        <v/>
      </c>
    </row>
    <row r="11">
      <c r="A11" s="4" t="inlineStr">
        <is>
          <t>Operating Profit</t>
        </is>
      </c>
      <c r="B11" s="21">
        <f>'1. Setup'!$B$15-'1. Setup'!$B$22-'1. Setup'!$B$30-'1. Setup'!$B$41</f>
        <v/>
      </c>
      <c r="C11" s="22">
        <f>IF(B11&gt;0,"OK",IF(B11=0,"FLAT","LOSS"))</f>
        <v/>
      </c>
      <c r="E11" s="10" t="inlineStr">
        <is>
          <t>Break-even ROAS</t>
        </is>
      </c>
      <c r="F11" s="25">
        <f>IFERROR('1. Setup'!$B$15/('1. Setup'!$B$15-'1. Setup'!$B$22-'1. Setup'!$B$30),0)</f>
        <v/>
      </c>
    </row>
    <row r="12">
      <c r="A12" s="4" t="inlineStr">
        <is>
          <t>Net Profit</t>
        </is>
      </c>
      <c r="B12" s="21">
        <f>'1. Setup'!$B$15-'1. Setup'!$B$22-'1. Setup'!$B$30-'1. Setup'!$B$41-'1. Setup'!$B$45-'1. Setup'!$B$46</f>
        <v/>
      </c>
      <c r="C12" s="22">
        <f>IF(B12&gt;0,"OK",IF(B12=0,"FLAT","LOSS"))</f>
        <v/>
      </c>
      <c r="E12" s="10" t="inlineStr">
        <is>
          <t>Actual ROAS (blended)</t>
        </is>
      </c>
      <c r="F12" s="25">
        <f>IFERROR('1. Setup'!$B$15/'1. Setup'!$B$34,0)</f>
        <v/>
      </c>
    </row>
    <row r="13">
      <c r="A13" s="4" t="inlineStr">
        <is>
          <t>Gross Margin</t>
        </is>
      </c>
      <c r="B13" s="26">
        <f>IFERROR(('1. Setup'!$B$15-'1. Setup'!$B$22)/'1. Setup'!$B$15,0)</f>
        <v/>
      </c>
      <c r="C13" s="22">
        <f>IF(B13&gt;0,"OK",IF(B13=0,"FLAT","LOSS"))</f>
        <v/>
      </c>
      <c r="E13" s="10" t="inlineStr">
        <is>
          <t>ROAS headroom</t>
        </is>
      </c>
      <c r="F13" s="25">
        <f>IFERROR('1. Setup'!$B$15/'1. Setup'!$B$34-'1. Setup'!$B$15/('1. Setup'!$B$15-'1. Setup'!$B$22-'1. Setup'!$B$30),0)</f>
        <v/>
      </c>
    </row>
    <row r="14">
      <c r="A14" s="4" t="inlineStr">
        <is>
          <t>Net Margin</t>
        </is>
      </c>
      <c r="B14" s="26">
        <f>IFERROR(('1. Setup'!$B$15-'1. Setup'!$B$22-'1. Setup'!$B$30-'1. Setup'!$B$41-'1. Setup'!$B$45-'1. Setup'!$B$46)/'1. Setup'!$B$15,0)</f>
        <v/>
      </c>
      <c r="C14" s="22">
        <f>IF(B14&gt;0,"OK",IF(B14=0,"FLAT","LOSS"))</f>
        <v/>
      </c>
      <c r="E14" s="10" t="inlineStr">
        <is>
          <t>Repeat rate</t>
        </is>
      </c>
      <c r="F14" s="24">
        <f>IFERROR('1. Setup'!$B$55/('1. Setup'!$B$54+'1. Setup'!$B$55),0)</f>
        <v/>
      </c>
    </row>
    <row r="15">
      <c r="E15" s="10" t="inlineStr">
        <is>
          <t>Churn rate</t>
        </is>
      </c>
      <c r="F15" s="24">
        <f>IFERROR('1. Setup'!$B$56/'1. Setup'!$B$57,0)</f>
        <v/>
      </c>
    </row>
    <row r="16" ht="22" customHeight="1">
      <c r="A16" s="3" t="inlineStr">
        <is>
          <t>CASH  ·  RUNWAY</t>
        </is>
      </c>
      <c r="E16" s="3" t="inlineStr">
        <is>
          <t>LIQUIDITY &amp; CASH CYCLE</t>
        </is>
      </c>
    </row>
    <row r="17">
      <c r="A17" s="9" t="inlineStr">
        <is>
          <t>Metric</t>
        </is>
      </c>
      <c r="B17" s="9" t="inlineStr">
        <is>
          <t>Value</t>
        </is>
      </c>
      <c r="C17" s="9" t="inlineStr">
        <is>
          <t>Status</t>
        </is>
      </c>
      <c r="E17" s="9" t="inlineStr">
        <is>
          <t>Metric</t>
        </is>
      </c>
      <c r="F17" s="9" t="inlineStr">
        <is>
          <t>Value</t>
        </is>
      </c>
    </row>
    <row r="18">
      <c r="A18" s="4" t="inlineStr">
        <is>
          <t>Operating Cash Flow (approx)</t>
        </is>
      </c>
      <c r="B18" s="27">
        <f>('1. Setup'!$B$15-'1. Setup'!$B$22-'1. Setup'!$B$30-'1. Setup'!$B$41-'1. Setup'!$B$45-'1. Setup'!$B$46)+'1. Setup'!$B$40</f>
        <v/>
      </c>
      <c r="C18" s="22">
        <f>IF(ISTEXT(B18),"OK",IF(B18&gt;=0,"OK","LOSS"))</f>
        <v/>
      </c>
      <c r="E18" s="10" t="inlineStr">
        <is>
          <t>Current Ratio</t>
        </is>
      </c>
      <c r="F18" s="28">
        <f>IFERROR('1. Setup'!$B$63/'1. Setup'!$B$64,0)</f>
        <v/>
      </c>
    </row>
    <row r="19">
      <c r="A19" s="4" t="inlineStr">
        <is>
          <t>Cash out below the line</t>
        </is>
      </c>
      <c r="B19" s="27">
        <f>'1. Setup'!$B$47+'1. Setup'!$B$48+'1. Setup'!$B$49</f>
        <v/>
      </c>
      <c r="C19" s="22">
        <f>IF(ISTEXT(B19),"OK",IF(B19&gt;=0,"OK","LOSS"))</f>
        <v/>
      </c>
      <c r="E19" s="10" t="inlineStr">
        <is>
          <t>Quick Ratio</t>
        </is>
      </c>
      <c r="F19" s="28">
        <f>IFERROR(('1. Setup'!$B$63-'1. Setup'!$B$60)/'1. Setup'!$B$64,0)</f>
        <v/>
      </c>
    </row>
    <row r="20">
      <c r="A20" s="4" t="inlineStr">
        <is>
          <t>Net Cash Change</t>
        </is>
      </c>
      <c r="B20" s="27">
        <f>('1. Setup'!$B$15-'1. Setup'!$B$22-'1. Setup'!$B$30-'1. Setup'!$B$41-'1. Setup'!$B$45-'1. Setup'!$B$46)+'1. Setup'!$B$40-'1. Setup'!$B$47-'1. Setup'!$B$48-'1. Setup'!$B$49</f>
        <v/>
      </c>
      <c r="C20" s="22">
        <f>IF(ISTEXT(B20),"OK",IF(B20&gt;=0,"OK","LOSS"))</f>
        <v/>
      </c>
      <c r="E20" s="10" t="inlineStr">
        <is>
          <t>Debt / Equity</t>
        </is>
      </c>
      <c r="F20" s="28">
        <f>IFERROR('1. Setup'!$B$62/'1. Setup'!$B$65,0)</f>
        <v/>
      </c>
    </row>
    <row r="21">
      <c r="A21" s="4" t="inlineStr">
        <is>
          <t>Monthly Net Burn</t>
        </is>
      </c>
      <c r="B21" s="27">
        <f>MAX(0,-(('1. Setup'!$B$15-'1. Setup'!$B$22-'1. Setup'!$B$30-'1. Setup'!$B$41-'1. Setup'!$B$45-'1. Setup'!$B$46)+'1. Setup'!$B$40-'1. Setup'!$B$47-'1. Setup'!$B$48-'1. Setup'!$B$49))</f>
        <v/>
      </c>
      <c r="C21" s="22">
        <f>IF(ISTEXT(B21),"OK",IF(B21&gt;=0,"OK","LOSS"))</f>
        <v/>
      </c>
      <c r="E21" s="10" t="inlineStr">
        <is>
          <t>Interest Coverage</t>
        </is>
      </c>
      <c r="F21" s="25">
        <f>IFERROR(('1. Setup'!$B$15-'1. Setup'!$B$22-'1. Setup'!$B$30-'1. Setup'!$B$41)/'1. Setup'!$B$45,0)</f>
        <v/>
      </c>
    </row>
    <row r="22">
      <c r="A22" s="4" t="inlineStr">
        <is>
          <t>Runway (months)</t>
        </is>
      </c>
      <c r="B22" s="29">
        <f>IF(MAX(0,-(('1. Setup'!$B$15-'1. Setup'!$B$22-'1. Setup'!$B$30-'1. Setup'!$B$41-'1. Setup'!$B$45-'1. Setup'!$B$46)+'1. Setup'!$B$40-'1. Setup'!$B$47-'1. Setup'!$B$48-'1. Setup'!$B$49))=0,"cash positive",'1. Setup'!$B$58/MAX(1,-(('1. Setup'!$B$15-'1. Setup'!$B$22-'1. Setup'!$B$30-'1. Setup'!$B$41-'1. Setup'!$B$45-'1. Setup'!$B$46)+'1. Setup'!$B$40-'1. Setup'!$B$47-'1. Setup'!$B$48-'1. Setup'!$B$49)))</f>
        <v/>
      </c>
      <c r="C22" s="22">
        <f>IF(ISTEXT(B22),"OK",IF(B22&gt;=0,"OK","LOSS"))</f>
        <v/>
      </c>
      <c r="E22" s="10" t="inlineStr">
        <is>
          <t>DIO (days)</t>
        </is>
      </c>
      <c r="F22" s="29">
        <f>IFERROR('1. Setup'!$B$60/'1. Setup'!$B$22*'1. Setup'!$B$66,0)</f>
        <v/>
      </c>
    </row>
    <row r="23">
      <c r="E23" s="10" t="inlineStr">
        <is>
          <t>DSO (days)</t>
        </is>
      </c>
      <c r="F23" s="29">
        <f>IFERROR('1. Setup'!$B$59/'1. Setup'!$B$15*'1. Setup'!$B$66,0)</f>
        <v/>
      </c>
    </row>
    <row r="24">
      <c r="E24" s="10" t="inlineStr">
        <is>
          <t>DPO (days)</t>
        </is>
      </c>
      <c r="F24" s="29">
        <f>IFERROR('1. Setup'!$B$61/'1. Setup'!$B$22*'1. Setup'!$B$66,0)</f>
        <v/>
      </c>
    </row>
    <row r="25">
      <c r="E25" s="10" t="inlineStr">
        <is>
          <t>Cash Conversion Cycle</t>
        </is>
      </c>
      <c r="F25" s="29">
        <f>IFERROR('1. Setup'!$B$60/'1. Setup'!$B$22*'1. Setup'!$B$66+'1. Setup'!$B$59/'1. Setup'!$B$15*'1. Setup'!$B$66-'1. Setup'!$B$61/'1. Setup'!$B$22*'1. Setup'!$B$66,0)</f>
        <v/>
      </c>
    </row>
    <row r="27" ht="22" customHeight="1">
      <c r="A27" s="3" t="inlineStr">
        <is>
          <t>BREAK-EVEN</t>
        </is>
      </c>
    </row>
    <row r="28">
      <c r="A28" s="4" t="inlineStr">
        <is>
          <t>Fixed costs (OPEX excl. ads)</t>
        </is>
      </c>
      <c r="B28" s="27">
        <f>'1. Setup'!$B$41-'1. Setup'!$B$34</f>
        <v/>
      </c>
    </row>
    <row r="29">
      <c r="A29" s="4" t="inlineStr">
        <is>
          <t>CM ratio (pre-ad)</t>
        </is>
      </c>
      <c r="B29" s="24">
        <f>IFERROR(('1. Setup'!$B$15-'1. Setup'!$B$22-'1. Setup'!$B$30)/'1. Setup'!$B$15,0)</f>
        <v/>
      </c>
    </row>
    <row r="30">
      <c r="A30" s="4" t="inlineStr">
        <is>
          <t>Break-even revenue</t>
        </is>
      </c>
      <c r="B30" s="27">
        <f>IFERROR(B28/B29,0)</f>
        <v/>
      </c>
    </row>
    <row r="31">
      <c r="A31" s="4" t="inlineStr">
        <is>
          <t>Break-even orders</t>
        </is>
      </c>
      <c r="B31" s="30">
        <f>IFERROR(B30/IFERROR('1. Setup'!$B$15/'1. Setup'!$B$53,1),0)</f>
        <v/>
      </c>
    </row>
    <row r="32">
      <c r="A32" s="4" t="inlineStr">
        <is>
          <t>Margin of safety</t>
        </is>
      </c>
      <c r="B32" s="24">
        <f>IFERROR(('1. Setup'!$B$15-B30)/'1. Setup'!$B$15,0)</f>
        <v/>
      </c>
    </row>
    <row r="34" ht="22" customHeight="1">
      <c r="A34" s="3" t="inlineStr">
        <is>
          <t>VERDICT</t>
        </is>
      </c>
    </row>
    <row r="35" ht="34" customHeight="1">
      <c r="A35" s="31">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31" t="n"/>
      <c r="C35" s="31" t="n"/>
      <c r="D35" s="31" t="n"/>
      <c r="E35" s="31" t="n"/>
      <c r="F35" s="31" t="n"/>
      <c r="G35" s="31" t="n"/>
      <c r="H35" s="31" t="n"/>
    </row>
    <row r="56" ht="20" customHeight="1">
      <c r="A56" s="18" t="inlineStr">
        <is>
          <t>◆ Md Kamrul Hasan  ·  https://github.com/Kamrul5242  ·  Digital Signature MKH-EBIC-2.2.0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9" t="inlineStr">
        <is>
          <t>Driver</t>
        </is>
      </c>
      <c r="B5" s="9" t="inlineStr">
        <is>
          <t>Conservative</t>
        </is>
      </c>
      <c r="C5" s="9" t="inlineStr">
        <is>
          <t>Base</t>
        </is>
      </c>
      <c r="D5" s="9" t="inlineStr">
        <is>
          <t>Aggressive</t>
        </is>
      </c>
    </row>
    <row r="6">
      <c r="A6" s="4" t="inlineStr">
        <is>
          <t>Revenue change</t>
        </is>
      </c>
      <c r="B6" s="32" t="n">
        <v>-0.25</v>
      </c>
      <c r="C6" s="32" t="n">
        <v>0</v>
      </c>
      <c r="D6" s="32" t="n">
        <v>0.25</v>
      </c>
    </row>
    <row r="7">
      <c r="A7" s="4" t="inlineStr">
        <is>
          <t>COGS % change</t>
        </is>
      </c>
      <c r="B7" s="32" t="n">
        <v>0.04</v>
      </c>
      <c r="C7" s="32" t="n">
        <v>0</v>
      </c>
      <c r="D7" s="32" t="n">
        <v>-0.02</v>
      </c>
    </row>
    <row r="8">
      <c r="A8" s="4" t="inlineStr">
        <is>
          <t>Ad spend change</t>
        </is>
      </c>
      <c r="B8" s="32" t="n">
        <v>0.1</v>
      </c>
      <c r="C8" s="32" t="n">
        <v>0</v>
      </c>
      <c r="D8" s="32" t="n">
        <v>0.2</v>
      </c>
    </row>
    <row r="9">
      <c r="A9" s="4" t="inlineStr">
        <is>
          <t>Fixed cost change</t>
        </is>
      </c>
      <c r="B9" s="32" t="n">
        <v>0.05</v>
      </c>
      <c r="C9" s="32" t="n">
        <v>0</v>
      </c>
      <c r="D9" s="32" t="n">
        <v>0</v>
      </c>
    </row>
    <row r="11" ht="22" customHeight="1">
      <c r="A11" s="3" t="inlineStr">
        <is>
          <t>OUTCOME</t>
        </is>
      </c>
    </row>
    <row r="12">
      <c r="A12" s="9" t="inlineStr">
        <is>
          <t>Line</t>
        </is>
      </c>
      <c r="B12" s="9" t="inlineStr">
        <is>
          <t>Conservative</t>
        </is>
      </c>
      <c r="C12" s="9" t="inlineStr">
        <is>
          <t>Base</t>
        </is>
      </c>
      <c r="D12" s="9" t="inlineStr">
        <is>
          <t>Aggressive</t>
        </is>
      </c>
    </row>
    <row r="13">
      <c r="A13" s="4" t="inlineStr">
        <is>
          <t>Net Revenue</t>
        </is>
      </c>
      <c r="B13" s="33">
        <f>'1. Setup'!$B$15*(1+B6)</f>
        <v/>
      </c>
      <c r="C13" s="33">
        <f>'1. Setup'!$B$15*(1+C6)</f>
        <v/>
      </c>
      <c r="D13" s="33">
        <f>'1. Setup'!$B$15*(1+D6)</f>
        <v/>
      </c>
    </row>
    <row r="14">
      <c r="A14" s="4" t="inlineStr">
        <is>
          <t>COGS</t>
        </is>
      </c>
      <c r="B14" s="33">
        <f>'1. Setup'!$B$22*(1+B6)*(1+B7)</f>
        <v/>
      </c>
      <c r="C14" s="33">
        <f>'1. Setup'!$B$22*(1+C6)*(1+C7)</f>
        <v/>
      </c>
      <c r="D14" s="33">
        <f>'1. Setup'!$B$22*(1+D6)*(1+D7)</f>
        <v/>
      </c>
    </row>
    <row r="15">
      <c r="A15" s="4" t="inlineStr">
        <is>
          <t>Other variable</t>
        </is>
      </c>
      <c r="B15" s="33">
        <f>'1. Setup'!$B$30*(1+B6)</f>
        <v/>
      </c>
      <c r="C15" s="33">
        <f>'1. Setup'!$B$30*(1+C6)</f>
        <v/>
      </c>
      <c r="D15" s="33">
        <f>'1. Setup'!$B$30*(1+D6)</f>
        <v/>
      </c>
    </row>
    <row r="16">
      <c r="A16" s="4" t="inlineStr">
        <is>
          <t>Ad spend</t>
        </is>
      </c>
      <c r="B16" s="33">
        <f>'1. Setup'!$B$34*(1+B8)</f>
        <v/>
      </c>
      <c r="C16" s="33">
        <f>'1. Setup'!$B$34*(1+C8)</f>
        <v/>
      </c>
      <c r="D16" s="33">
        <f>'1. Setup'!$B$34*(1+D8)</f>
        <v/>
      </c>
    </row>
    <row r="17">
      <c r="A17" s="4" t="inlineStr">
        <is>
          <t>Fixed OPEX</t>
        </is>
      </c>
      <c r="B17" s="33">
        <f>('1. Setup'!$B$41-'1. Setup'!$B$34)*(1+B9)</f>
        <v/>
      </c>
      <c r="C17" s="33">
        <f>('1. Setup'!$B$41-'1. Setup'!$B$34)*(1+C9)</f>
        <v/>
      </c>
      <c r="D17" s="33">
        <f>('1. Setup'!$B$41-'1. Setup'!$B$34)*(1+D9)</f>
        <v/>
      </c>
    </row>
    <row r="18">
      <c r="A18" s="4" t="inlineStr">
        <is>
          <t>Gross Profit</t>
        </is>
      </c>
      <c r="B18" s="27">
        <f>B13-B14</f>
        <v/>
      </c>
      <c r="C18" s="27">
        <f>C13-C14</f>
        <v/>
      </c>
      <c r="D18" s="27">
        <f>D13-D14</f>
        <v/>
      </c>
    </row>
    <row r="19">
      <c r="A19" s="4" t="inlineStr">
        <is>
          <t>Contribution after ads</t>
        </is>
      </c>
      <c r="B19" s="33">
        <f>B13-B14-B15-B16</f>
        <v/>
      </c>
      <c r="C19" s="33">
        <f>C13-C14-C15-C16</f>
        <v/>
      </c>
      <c r="D19" s="33">
        <f>D13-D14-D15-D16</f>
        <v/>
      </c>
    </row>
    <row r="20">
      <c r="A20" s="4" t="inlineStr">
        <is>
          <t>Operating Profit</t>
        </is>
      </c>
      <c r="B20" s="27">
        <f>B19-B17</f>
        <v/>
      </c>
      <c r="C20" s="27">
        <f>C19-C17</f>
        <v/>
      </c>
      <c r="D20" s="27">
        <f>D19-D17</f>
        <v/>
      </c>
    </row>
    <row r="21">
      <c r="A21" s="4" t="inlineStr">
        <is>
          <t>Operating Margin</t>
        </is>
      </c>
      <c r="B21" s="34">
        <f>IFERROR(B20/B13,0)</f>
        <v/>
      </c>
      <c r="C21" s="34">
        <f>IFERROR(C20/C13,0)</f>
        <v/>
      </c>
      <c r="D21" s="34">
        <f>IFERROR(D20/D13,0)</f>
        <v/>
      </c>
    </row>
    <row r="22">
      <c r="A22" s="4" t="inlineStr">
        <is>
          <t>Verdict</t>
        </is>
      </c>
      <c r="B22" s="35">
        <f>IF(B20&gt;0,"PROFIT","LOSS")</f>
        <v/>
      </c>
      <c r="C22" s="35">
        <f>IF(C20&gt;0,"PROFIT","LOSS")</f>
        <v/>
      </c>
      <c r="D22" s="35">
        <f>IF(D20&gt;0,"PROFIT","LOSS")</f>
        <v/>
      </c>
    </row>
    <row r="24" ht="22" customHeight="1">
      <c r="A24" s="3" t="inlineStr">
        <is>
          <t>PRICE SENSITIVITY  ·  how much volume can you afford to lose?</t>
        </is>
      </c>
    </row>
    <row r="25">
      <c r="A25" s="9" t="inlineStr">
        <is>
          <t>Price increase</t>
        </is>
      </c>
      <c r="B25" s="9" t="inlineStr">
        <is>
          <t>Max volume loss tolerable</t>
        </is>
      </c>
      <c r="C25" s="9" t="n"/>
    </row>
    <row r="26">
      <c r="A26" s="36" t="n">
        <v>0.05</v>
      </c>
      <c r="B26" s="37">
        <f>IFERROR(0.05/(IFERROR(('1. Setup'!$B$15-'1. Setup'!$B$22-'1. Setup'!$B$30)/'1. Setup'!$B$15,0.3)+0.05),0)</f>
        <v/>
      </c>
      <c r="C26" s="37" t="n"/>
    </row>
    <row r="27">
      <c r="A27" s="36" t="n">
        <v>0.1</v>
      </c>
      <c r="B27" s="37">
        <f>IFERROR(0.1/(IFERROR(('1. Setup'!$B$15-'1. Setup'!$B$22-'1. Setup'!$B$30)/'1. Setup'!$B$15,0.3)+0.1),0)</f>
        <v/>
      </c>
      <c r="C27" s="37" t="n"/>
    </row>
    <row r="28">
      <c r="A28" s="36" t="n">
        <v>0.15</v>
      </c>
      <c r="B28" s="37">
        <f>IFERROR(0.15/(IFERROR(('1. Setup'!$B$15-'1. Setup'!$B$22-'1. Setup'!$B$30)/'1. Setup'!$B$15,0.3)+0.15),0)</f>
        <v/>
      </c>
      <c r="C28" s="37" t="n"/>
    </row>
    <row r="29">
      <c r="A29" s="36" t="n">
        <v>0.2</v>
      </c>
      <c r="B29" s="37">
        <f>IFERROR(0.2/(IFERROR(('1. Setup'!$B$15-'1. Setup'!$B$22-'1. Setup'!$B$30)/'1. Setup'!$B$15,0.3)+0.2),0)</f>
        <v/>
      </c>
      <c r="C29" s="37" t="n"/>
    </row>
    <row r="31" ht="20" customHeight="1">
      <c r="A31" s="18" t="inlineStr">
        <is>
          <t>◆ Md Kamrul Hasan  ·  https://github.com/Kamrul5242  ·  Digital Signature MKH-EBIC-2.2.0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4.xml><?xml version="1.0" encoding="utf-8"?>
<worksheet xmlns="http://schemas.openxmlformats.org/spreadsheetml/2006/main">
  <sheetPr>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9" t="inlineStr">
        <is>
          <t>Line item</t>
        </is>
      </c>
      <c r="B4" s="9" t="inlineStr">
        <is>
          <t>M1</t>
        </is>
      </c>
      <c r="C4" s="9" t="inlineStr">
        <is>
          <t>M2</t>
        </is>
      </c>
      <c r="D4" s="9" t="inlineStr">
        <is>
          <t>M3</t>
        </is>
      </c>
      <c r="E4" s="9" t="inlineStr">
        <is>
          <t>M4</t>
        </is>
      </c>
      <c r="F4" s="9" t="inlineStr">
        <is>
          <t>M5</t>
        </is>
      </c>
      <c r="G4" s="9" t="inlineStr">
        <is>
          <t>M6</t>
        </is>
      </c>
      <c r="H4" s="9" t="inlineStr">
        <is>
          <t>M7</t>
        </is>
      </c>
      <c r="I4" s="9" t="inlineStr">
        <is>
          <t>M8</t>
        </is>
      </c>
      <c r="J4" s="9" t="inlineStr">
        <is>
          <t>M9</t>
        </is>
      </c>
      <c r="K4" s="9" t="inlineStr">
        <is>
          <t>M10</t>
        </is>
      </c>
      <c r="L4" s="9" t="inlineStr">
        <is>
          <t>M11</t>
        </is>
      </c>
      <c r="M4" s="9" t="inlineStr">
        <is>
          <t>M12</t>
        </is>
      </c>
    </row>
    <row r="5">
      <c r="A5" s="38" t="inlineStr">
        <is>
          <t>Net Revenue</t>
        </is>
      </c>
      <c r="B5" s="11" t="n"/>
      <c r="C5" s="11" t="n"/>
      <c r="D5" s="11" t="n"/>
      <c r="E5" s="11" t="n"/>
      <c r="F5" s="11" t="n"/>
      <c r="G5" s="11" t="n"/>
      <c r="H5" s="11" t="n"/>
      <c r="I5" s="11" t="n"/>
      <c r="J5" s="11" t="n"/>
      <c r="K5" s="11" t="n"/>
      <c r="L5" s="11" t="n"/>
      <c r="M5" s="11" t="n"/>
    </row>
    <row r="6">
      <c r="A6" s="38" t="inlineStr">
        <is>
          <t>COGS</t>
        </is>
      </c>
      <c r="B6" s="11" t="n"/>
      <c r="C6" s="11" t="n"/>
      <c r="D6" s="11" t="n"/>
      <c r="E6" s="11" t="n"/>
      <c r="F6" s="11" t="n"/>
      <c r="G6" s="11" t="n"/>
      <c r="H6" s="11" t="n"/>
      <c r="I6" s="11" t="n"/>
      <c r="J6" s="11" t="n"/>
      <c r="K6" s="11" t="n"/>
      <c r="L6" s="11" t="n"/>
      <c r="M6" s="11" t="n"/>
    </row>
    <row r="7">
      <c r="A7" s="38" t="inlineStr">
        <is>
          <t>Variable Costs (shipping, gateway, RTO)</t>
        </is>
      </c>
      <c r="B7" s="11" t="n"/>
      <c r="C7" s="11" t="n"/>
      <c r="D7" s="11" t="n"/>
      <c r="E7" s="11" t="n"/>
      <c r="F7" s="11" t="n"/>
      <c r="G7" s="11" t="n"/>
      <c r="H7" s="11" t="n"/>
      <c r="I7" s="11" t="n"/>
      <c r="J7" s="11" t="n"/>
      <c r="K7" s="11" t="n"/>
      <c r="L7" s="11" t="n"/>
      <c r="M7" s="11" t="n"/>
    </row>
    <row r="8">
      <c r="A8" s="38" t="inlineStr">
        <is>
          <t>Ad Spend</t>
        </is>
      </c>
      <c r="B8" s="11" t="n"/>
      <c r="C8" s="11" t="n"/>
      <c r="D8" s="11" t="n"/>
      <c r="E8" s="11" t="n"/>
      <c r="F8" s="11" t="n"/>
      <c r="G8" s="11" t="n"/>
      <c r="H8" s="11" t="n"/>
      <c r="I8" s="11" t="n"/>
      <c r="J8" s="11" t="n"/>
      <c r="K8" s="11" t="n"/>
      <c r="L8" s="11" t="n"/>
      <c r="M8" s="11" t="n"/>
    </row>
    <row r="9">
      <c r="A9" s="38" t="inlineStr">
        <is>
          <t>Fixed Operating Costs</t>
        </is>
      </c>
      <c r="B9" s="11" t="n"/>
      <c r="C9" s="11" t="n"/>
      <c r="D9" s="11" t="n"/>
      <c r="E9" s="11" t="n"/>
      <c r="F9" s="11" t="n"/>
      <c r="G9" s="11" t="n"/>
      <c r="H9" s="11" t="n"/>
      <c r="I9" s="11" t="n"/>
      <c r="J9" s="11" t="n"/>
      <c r="K9" s="11" t="n"/>
      <c r="L9" s="11" t="n"/>
      <c r="M9" s="11" t="n"/>
    </row>
    <row r="10" ht="22" customHeight="1">
      <c r="A10" s="3" t="inlineStr">
        <is>
          <t>CALCULATED</t>
        </is>
      </c>
    </row>
    <row r="11">
      <c r="A11" s="39" t="inlineStr">
        <is>
          <t>Contribution</t>
        </is>
      </c>
      <c r="B11" s="40">
        <f>B5-B6-B7</f>
        <v/>
      </c>
      <c r="C11" s="40">
        <f>C5-C6-C7</f>
        <v/>
      </c>
      <c r="D11" s="40">
        <f>D5-D6-D7</f>
        <v/>
      </c>
      <c r="E11" s="40">
        <f>E5-E6-E7</f>
        <v/>
      </c>
      <c r="F11" s="40">
        <f>F5-F6-F7</f>
        <v/>
      </c>
      <c r="G11" s="40">
        <f>G5-G6-G7</f>
        <v/>
      </c>
      <c r="H11" s="40">
        <f>H5-H6-H7</f>
        <v/>
      </c>
      <c r="I11" s="40">
        <f>I5-I6-I7</f>
        <v/>
      </c>
      <c r="J11" s="40">
        <f>J5-J6-J7</f>
        <v/>
      </c>
      <c r="K11" s="40">
        <f>K5-K6-K7</f>
        <v/>
      </c>
      <c r="L11" s="40">
        <f>L5-L6-L7</f>
        <v/>
      </c>
      <c r="M11" s="40">
        <f>M5-M6-M7</f>
        <v/>
      </c>
    </row>
    <row r="12">
      <c r="A12" s="39" t="inlineStr">
        <is>
          <t>Contribution Margin %</t>
        </is>
      </c>
      <c r="B12" s="41">
        <f>IFERROR(B11/B5,"")</f>
        <v/>
      </c>
      <c r="C12" s="41">
        <f>IFERROR(C11/C5,"")</f>
        <v/>
      </c>
      <c r="D12" s="41">
        <f>IFERROR(D11/D5,"")</f>
        <v/>
      </c>
      <c r="E12" s="41">
        <f>IFERROR(E11/E5,"")</f>
        <v/>
      </c>
      <c r="F12" s="41">
        <f>IFERROR(F11/F5,"")</f>
        <v/>
      </c>
      <c r="G12" s="41">
        <f>IFERROR(G11/G5,"")</f>
        <v/>
      </c>
      <c r="H12" s="41">
        <f>IFERROR(H11/H5,"")</f>
        <v/>
      </c>
      <c r="I12" s="41">
        <f>IFERROR(I11/I5,"")</f>
        <v/>
      </c>
      <c r="J12" s="41">
        <f>IFERROR(J11/J5,"")</f>
        <v/>
      </c>
      <c r="K12" s="41">
        <f>IFERROR(K11/K5,"")</f>
        <v/>
      </c>
      <c r="L12" s="41">
        <f>IFERROR(L11/L5,"")</f>
        <v/>
      </c>
      <c r="M12" s="41">
        <f>IFERROR(M11/M5,"")</f>
        <v/>
      </c>
    </row>
    <row r="13">
      <c r="A13" s="39" t="inlineStr">
        <is>
          <t>Operating Profit</t>
        </is>
      </c>
      <c r="B13" s="40">
        <f>B11-B8-B9</f>
        <v/>
      </c>
      <c r="C13" s="40">
        <f>C11-C8-C9</f>
        <v/>
      </c>
      <c r="D13" s="40">
        <f>D11-D8-D9</f>
        <v/>
      </c>
      <c r="E13" s="40">
        <f>E11-E8-E9</f>
        <v/>
      </c>
      <c r="F13" s="40">
        <f>F11-F8-F9</f>
        <v/>
      </c>
      <c r="G13" s="40">
        <f>G11-G8-G9</f>
        <v/>
      </c>
      <c r="H13" s="40">
        <f>H11-H8-H9</f>
        <v/>
      </c>
      <c r="I13" s="40">
        <f>I11-I8-I9</f>
        <v/>
      </c>
      <c r="J13" s="40">
        <f>J11-J8-J9</f>
        <v/>
      </c>
      <c r="K13" s="40">
        <f>K11-K8-K9</f>
        <v/>
      </c>
      <c r="L13" s="40">
        <f>L11-L8-L9</f>
        <v/>
      </c>
      <c r="M13" s="40">
        <f>M11-M8-M9</f>
        <v/>
      </c>
    </row>
    <row r="14">
      <c r="A14" s="39" t="inlineStr">
        <is>
          <t>Operating Margin %</t>
        </is>
      </c>
      <c r="B14" s="41">
        <f>IFERROR(B13/B5,"")</f>
        <v/>
      </c>
      <c r="C14" s="41">
        <f>IFERROR(C13/C5,"")</f>
        <v/>
      </c>
      <c r="D14" s="41">
        <f>IFERROR(D13/D5,"")</f>
        <v/>
      </c>
      <c r="E14" s="41">
        <f>IFERROR(E13/E5,"")</f>
        <v/>
      </c>
      <c r="F14" s="41">
        <f>IFERROR(F13/F5,"")</f>
        <v/>
      </c>
      <c r="G14" s="41">
        <f>IFERROR(G13/G5,"")</f>
        <v/>
      </c>
      <c r="H14" s="41">
        <f>IFERROR(H13/H5,"")</f>
        <v/>
      </c>
      <c r="I14" s="41">
        <f>IFERROR(I13/I5,"")</f>
        <v/>
      </c>
      <c r="J14" s="41">
        <f>IFERROR(J13/J5,"")</f>
        <v/>
      </c>
      <c r="K14" s="41">
        <f>IFERROR(K13/K5,"")</f>
        <v/>
      </c>
      <c r="L14" s="41">
        <f>IFERROR(L13/L5,"")</f>
        <v/>
      </c>
      <c r="M14" s="41">
        <f>IFERROR(M13/M5,"")</f>
        <v/>
      </c>
    </row>
    <row r="15">
      <c r="A15" s="39" t="inlineStr">
        <is>
          <t>Cumulative Operating Profit</t>
        </is>
      </c>
      <c r="B15" s="40">
        <f>B13</f>
        <v/>
      </c>
      <c r="C15" s="40">
        <f>B15+C13</f>
        <v/>
      </c>
      <c r="D15" s="40">
        <f>C15+D13</f>
        <v/>
      </c>
      <c r="E15" s="40">
        <f>D15+E13</f>
        <v/>
      </c>
      <c r="F15" s="40">
        <f>E15+F13</f>
        <v/>
      </c>
      <c r="G15" s="40">
        <f>F15+G13</f>
        <v/>
      </c>
      <c r="H15" s="40">
        <f>G15+H13</f>
        <v/>
      </c>
      <c r="I15" s="40">
        <f>H15+I13</f>
        <v/>
      </c>
      <c r="J15" s="40">
        <f>I15+J13</f>
        <v/>
      </c>
      <c r="K15" s="40">
        <f>J15+K13</f>
        <v/>
      </c>
      <c r="L15" s="40">
        <f>K15+L13</f>
        <v/>
      </c>
      <c r="M15" s="40">
        <f>L15+M13</f>
        <v/>
      </c>
    </row>
    <row r="16">
      <c r="A16" s="39" t="inlineStr">
        <is>
          <t>Revenue Growth vs Prior Month %</t>
        </is>
      </c>
      <c r="B16" s="41" t="inlineStr"/>
      <c r="C16" s="41">
        <f>IFERROR(C5/B5-1,"")</f>
        <v/>
      </c>
      <c r="D16" s="41">
        <f>IFERROR(D5/C5-1,"")</f>
        <v/>
      </c>
      <c r="E16" s="41">
        <f>IFERROR(E5/D5-1,"")</f>
        <v/>
      </c>
      <c r="F16" s="41">
        <f>IFERROR(F5/E5-1,"")</f>
        <v/>
      </c>
      <c r="G16" s="41">
        <f>IFERROR(G5/F5-1,"")</f>
        <v/>
      </c>
      <c r="H16" s="41">
        <f>IFERROR(H5/G5-1,"")</f>
        <v/>
      </c>
      <c r="I16" s="41">
        <f>IFERROR(I5/H5-1,"")</f>
        <v/>
      </c>
      <c r="J16" s="41">
        <f>IFERROR(J5/I5-1,"")</f>
        <v/>
      </c>
      <c r="K16" s="41">
        <f>IFERROR(K5/J5-1,"")</f>
        <v/>
      </c>
      <c r="L16" s="41">
        <f>IFERROR(L5/K5-1,"")</f>
        <v/>
      </c>
      <c r="M16" s="41">
        <f>IFERROR(M5/L5-1,"")</f>
        <v/>
      </c>
    </row>
    <row r="18" ht="22" customHeight="1">
      <c r="A18" s="3" t="inlineStr">
        <is>
          <t>REVENUE AND OPERATING PROFIT BY MONTH</t>
        </is>
      </c>
    </row>
    <row r="37">
      <c r="A37" s="42" t="inlineStr">
        <is>
          <t>Read the direction, not the level. Three months of falling contribution margin is a structural problem; one month is noise.</t>
        </is>
      </c>
      <c r="B37" s="42" t="n"/>
      <c r="C37" s="42" t="n"/>
      <c r="D37" s="42" t="n"/>
      <c r="E37" s="42" t="n"/>
      <c r="F37" s="42" t="n"/>
      <c r="G37" s="42" t="n"/>
      <c r="H37" s="42" t="n"/>
      <c r="I37" s="42" t="n"/>
      <c r="J37" s="42" t="n"/>
      <c r="K37" s="42" t="n"/>
      <c r="L37" s="42" t="n"/>
      <c r="M37" s="42" t="n"/>
    </row>
    <row r="39" ht="20" customHeight="1">
      <c r="A39" s="18" t="inlineStr">
        <is>
          <t>◆ Md Kamrul Hasan  ·  https://github.com/Kamrul5242  ·  Digital Signature MKH-EBIC-2.2.0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9" t="inlineStr">
        <is>
          <t>Code</t>
        </is>
      </c>
      <c r="B1" s="9" t="inlineStr">
        <is>
          <t>Symbol</t>
        </is>
      </c>
      <c r="C1" s="9" t="inlineStr">
        <is>
          <t>Name</t>
        </is>
      </c>
      <c r="D1" s="9" t="inlineStr">
        <is>
          <t>Decimals</t>
        </is>
      </c>
    </row>
    <row r="2">
      <c r="A2" s="43" t="inlineStr">
        <is>
          <t>BDT</t>
        </is>
      </c>
      <c r="B2" s="43" t="inlineStr">
        <is>
          <t>৳</t>
        </is>
      </c>
      <c r="C2" s="43" t="inlineStr">
        <is>
          <t>Bangladeshi Taka</t>
        </is>
      </c>
      <c r="D2" s="43" t="n">
        <v>2</v>
      </c>
    </row>
    <row r="3">
      <c r="A3" s="43" t="inlineStr">
        <is>
          <t>INR</t>
        </is>
      </c>
      <c r="B3" s="43" t="inlineStr">
        <is>
          <t>₹</t>
        </is>
      </c>
      <c r="C3" s="43" t="inlineStr">
        <is>
          <t>Indian Rupee</t>
        </is>
      </c>
      <c r="D3" s="43" t="n">
        <v>2</v>
      </c>
    </row>
    <row r="4">
      <c r="A4" s="43" t="inlineStr">
        <is>
          <t>PKR</t>
        </is>
      </c>
      <c r="B4" s="43" t="inlineStr">
        <is>
          <t>₨</t>
        </is>
      </c>
      <c r="C4" s="43" t="inlineStr">
        <is>
          <t>Pakistani Rupee</t>
        </is>
      </c>
      <c r="D4" s="43" t="n">
        <v>2</v>
      </c>
    </row>
    <row r="5">
      <c r="A5" s="43" t="inlineStr">
        <is>
          <t>LKR</t>
        </is>
      </c>
      <c r="B5" s="43" t="inlineStr">
        <is>
          <t>Rs</t>
        </is>
      </c>
      <c r="C5" s="43" t="inlineStr">
        <is>
          <t>Sri Lankan Rupee</t>
        </is>
      </c>
      <c r="D5" s="43" t="n">
        <v>2</v>
      </c>
    </row>
    <row r="6">
      <c r="A6" s="43" t="inlineStr">
        <is>
          <t>NPR</t>
        </is>
      </c>
      <c r="B6" s="43" t="inlineStr">
        <is>
          <t>रू</t>
        </is>
      </c>
      <c r="C6" s="43" t="inlineStr">
        <is>
          <t>Nepalese Rupee</t>
        </is>
      </c>
      <c r="D6" s="43" t="n">
        <v>2</v>
      </c>
    </row>
    <row r="7">
      <c r="A7" s="43" t="inlineStr">
        <is>
          <t>USD</t>
        </is>
      </c>
      <c r="B7" s="43" t="inlineStr">
        <is>
          <t>$</t>
        </is>
      </c>
      <c r="C7" s="43" t="inlineStr">
        <is>
          <t>US Dollar</t>
        </is>
      </c>
      <c r="D7" s="43" t="n">
        <v>2</v>
      </c>
    </row>
    <row r="8">
      <c r="A8" s="43" t="inlineStr">
        <is>
          <t>EUR</t>
        </is>
      </c>
      <c r="B8" s="43" t="inlineStr">
        <is>
          <t>€</t>
        </is>
      </c>
      <c r="C8" s="43" t="inlineStr">
        <is>
          <t>Euro</t>
        </is>
      </c>
      <c r="D8" s="43" t="n">
        <v>2</v>
      </c>
    </row>
    <row r="9">
      <c r="A9" s="43" t="inlineStr">
        <is>
          <t>GBP</t>
        </is>
      </c>
      <c r="B9" s="43" t="inlineStr">
        <is>
          <t>£</t>
        </is>
      </c>
      <c r="C9" s="43" t="inlineStr">
        <is>
          <t>Pound Sterling</t>
        </is>
      </c>
      <c r="D9" s="43" t="n">
        <v>2</v>
      </c>
    </row>
    <row r="10">
      <c r="A10" s="43" t="inlineStr">
        <is>
          <t>CAD</t>
        </is>
      </c>
      <c r="B10" s="43" t="inlineStr">
        <is>
          <t>C$</t>
        </is>
      </c>
      <c r="C10" s="43" t="inlineStr">
        <is>
          <t>Canadian Dollar</t>
        </is>
      </c>
      <c r="D10" s="43" t="n">
        <v>2</v>
      </c>
    </row>
    <row r="11">
      <c r="A11" s="43" t="inlineStr">
        <is>
          <t>AUD</t>
        </is>
      </c>
      <c r="B11" s="43" t="inlineStr">
        <is>
          <t>A$</t>
        </is>
      </c>
      <c r="C11" s="43" t="inlineStr">
        <is>
          <t>Australian Dollar</t>
        </is>
      </c>
      <c r="D11" s="43" t="n">
        <v>2</v>
      </c>
    </row>
    <row r="12">
      <c r="A12" s="43" t="inlineStr">
        <is>
          <t>AED</t>
        </is>
      </c>
      <c r="B12" s="43" t="inlineStr">
        <is>
          <t>د.إ</t>
        </is>
      </c>
      <c r="C12" s="43" t="inlineStr">
        <is>
          <t>UAE Dirham</t>
        </is>
      </c>
      <c r="D12" s="43" t="n">
        <v>2</v>
      </c>
    </row>
    <row r="13">
      <c r="A13" s="43" t="inlineStr">
        <is>
          <t>SAR</t>
        </is>
      </c>
      <c r="B13" s="43" t="inlineStr">
        <is>
          <t>SR</t>
        </is>
      </c>
      <c r="C13" s="43" t="inlineStr">
        <is>
          <t>Saudi Riyal</t>
        </is>
      </c>
      <c r="D13" s="43" t="n">
        <v>2</v>
      </c>
    </row>
    <row r="14">
      <c r="A14" s="43" t="inlineStr">
        <is>
          <t>QAR</t>
        </is>
      </c>
      <c r="B14" s="43" t="inlineStr">
        <is>
          <t>QR</t>
        </is>
      </c>
      <c r="C14" s="43" t="inlineStr">
        <is>
          <t>Qatari Riyal</t>
        </is>
      </c>
      <c r="D14" s="43" t="n">
        <v>2</v>
      </c>
    </row>
    <row r="15">
      <c r="A15" s="43" t="inlineStr">
        <is>
          <t>KWD</t>
        </is>
      </c>
      <c r="B15" s="43" t="inlineStr">
        <is>
          <t>KD</t>
        </is>
      </c>
      <c r="C15" s="43" t="inlineStr">
        <is>
          <t>Kuwaiti Dinar</t>
        </is>
      </c>
      <c r="D15" s="43" t="n">
        <v>3</v>
      </c>
    </row>
    <row r="16">
      <c r="A16" s="43" t="inlineStr">
        <is>
          <t>BHD</t>
        </is>
      </c>
      <c r="B16" s="43" t="inlineStr">
        <is>
          <t>BD</t>
        </is>
      </c>
      <c r="C16" s="43" t="inlineStr">
        <is>
          <t>Bahraini Dinar</t>
        </is>
      </c>
      <c r="D16" s="43" t="n">
        <v>3</v>
      </c>
    </row>
    <row r="17">
      <c r="A17" s="43" t="inlineStr">
        <is>
          <t>OMR</t>
        </is>
      </c>
      <c r="B17" s="43" t="inlineStr">
        <is>
          <t>OR</t>
        </is>
      </c>
      <c r="C17" s="43" t="inlineStr">
        <is>
          <t>Omani Rial</t>
        </is>
      </c>
      <c r="D17" s="43" t="n">
        <v>3</v>
      </c>
    </row>
    <row r="18">
      <c r="A18" s="43" t="inlineStr">
        <is>
          <t>MYR</t>
        </is>
      </c>
      <c r="B18" s="43" t="inlineStr">
        <is>
          <t>RM</t>
        </is>
      </c>
      <c r="C18" s="43" t="inlineStr">
        <is>
          <t>Malaysian Ringgit</t>
        </is>
      </c>
      <c r="D18" s="43" t="n">
        <v>2</v>
      </c>
    </row>
    <row r="19">
      <c r="A19" s="43" t="inlineStr">
        <is>
          <t>SGD</t>
        </is>
      </c>
      <c r="B19" s="43" t="inlineStr">
        <is>
          <t>S$</t>
        </is>
      </c>
      <c r="C19" s="43" t="inlineStr">
        <is>
          <t>Singapore Dollar</t>
        </is>
      </c>
      <c r="D19" s="43" t="n">
        <v>2</v>
      </c>
    </row>
    <row r="20">
      <c r="A20" s="43" t="inlineStr">
        <is>
          <t>THB</t>
        </is>
      </c>
      <c r="B20" s="43" t="inlineStr">
        <is>
          <t>฿</t>
        </is>
      </c>
      <c r="C20" s="43" t="inlineStr">
        <is>
          <t>Thai Baht</t>
        </is>
      </c>
      <c r="D20" s="43" t="n">
        <v>2</v>
      </c>
    </row>
    <row r="21">
      <c r="A21" s="43" t="inlineStr">
        <is>
          <t>IDR</t>
        </is>
      </c>
      <c r="B21" s="43" t="inlineStr">
        <is>
          <t>Rp</t>
        </is>
      </c>
      <c r="C21" s="43" t="inlineStr">
        <is>
          <t>Indonesian Rupiah</t>
        </is>
      </c>
      <c r="D21" s="43" t="n">
        <v>0</v>
      </c>
    </row>
    <row r="22">
      <c r="A22" s="43" t="inlineStr">
        <is>
          <t>VND</t>
        </is>
      </c>
      <c r="B22" s="43" t="inlineStr">
        <is>
          <t>₫</t>
        </is>
      </c>
      <c r="C22" s="43" t="inlineStr">
        <is>
          <t>Vietnamese Dong</t>
        </is>
      </c>
      <c r="D22" s="43" t="n">
        <v>0</v>
      </c>
    </row>
    <row r="23">
      <c r="A23" s="43" t="inlineStr">
        <is>
          <t>PHP</t>
        </is>
      </c>
      <c r="B23" s="43" t="inlineStr">
        <is>
          <t>₱</t>
        </is>
      </c>
      <c r="C23" s="43" t="inlineStr">
        <is>
          <t>Philippine Peso</t>
        </is>
      </c>
      <c r="D23" s="43" t="n">
        <v>2</v>
      </c>
    </row>
    <row r="24">
      <c r="A24" s="43" t="inlineStr">
        <is>
          <t>CNY</t>
        </is>
      </c>
      <c r="B24" s="43" t="inlineStr">
        <is>
          <t>CN¥</t>
        </is>
      </c>
      <c r="C24" s="43" t="inlineStr">
        <is>
          <t>Chinese Yuan</t>
        </is>
      </c>
      <c r="D24" s="43" t="n">
        <v>2</v>
      </c>
    </row>
    <row r="25">
      <c r="A25" s="43" t="inlineStr">
        <is>
          <t>JPY</t>
        </is>
      </c>
      <c r="B25" s="43" t="inlineStr">
        <is>
          <t>JP¥</t>
        </is>
      </c>
      <c r="C25" s="43" t="inlineStr">
        <is>
          <t>Japanese Yen</t>
        </is>
      </c>
      <c r="D25" s="43" t="n">
        <v>0</v>
      </c>
    </row>
    <row r="26">
      <c r="A26" s="43" t="inlineStr">
        <is>
          <t>KRW</t>
        </is>
      </c>
      <c r="B26" s="43" t="inlineStr">
        <is>
          <t>₩</t>
        </is>
      </c>
      <c r="C26" s="43" t="inlineStr">
        <is>
          <t>Korean Won</t>
        </is>
      </c>
      <c r="D26" s="43" t="n">
        <v>0</v>
      </c>
    </row>
    <row r="27">
      <c r="A27" s="43" t="inlineStr">
        <is>
          <t>TRY</t>
        </is>
      </c>
      <c r="B27" s="43" t="inlineStr">
        <is>
          <t>₺</t>
        </is>
      </c>
      <c r="C27" s="43" t="inlineStr">
        <is>
          <t>Turkish Lira</t>
        </is>
      </c>
      <c r="D27" s="43" t="n">
        <v>2</v>
      </c>
    </row>
    <row r="28">
      <c r="A28" s="43" t="inlineStr">
        <is>
          <t>EGP</t>
        </is>
      </c>
      <c r="B28" s="43" t="inlineStr">
        <is>
          <t>E£</t>
        </is>
      </c>
      <c r="C28" s="43" t="inlineStr">
        <is>
          <t>Egyptian Pound</t>
        </is>
      </c>
      <c r="D28" s="43" t="n">
        <v>2</v>
      </c>
    </row>
    <row r="29">
      <c r="A29" s="43" t="inlineStr">
        <is>
          <t>NGN</t>
        </is>
      </c>
      <c r="B29" s="43" t="inlineStr">
        <is>
          <t>₦</t>
        </is>
      </c>
      <c r="C29" s="43" t="inlineStr">
        <is>
          <t>Nigerian Naira</t>
        </is>
      </c>
      <c r="D29" s="43" t="n">
        <v>2</v>
      </c>
    </row>
    <row r="30">
      <c r="A30" s="43" t="inlineStr">
        <is>
          <t>ZAR</t>
        </is>
      </c>
      <c r="B30" s="43" t="inlineStr">
        <is>
          <t>R</t>
        </is>
      </c>
      <c r="C30" s="43" t="inlineStr">
        <is>
          <t>South African Rand</t>
        </is>
      </c>
      <c r="D30" s="43" t="n">
        <v>2</v>
      </c>
    </row>
    <row r="31">
      <c r="A31" s="43" t="inlineStr">
        <is>
          <t>KES</t>
        </is>
      </c>
      <c r="B31" s="43" t="inlineStr">
        <is>
          <t>KSh</t>
        </is>
      </c>
      <c r="C31" s="43" t="inlineStr">
        <is>
          <t>Kenyan Shilling</t>
        </is>
      </c>
      <c r="D31" s="43" t="n">
        <v>2</v>
      </c>
    </row>
    <row r="32">
      <c r="A32" s="43" t="inlineStr">
        <is>
          <t>BRL</t>
        </is>
      </c>
      <c r="B32" s="43" t="inlineStr">
        <is>
          <t>R$</t>
        </is>
      </c>
      <c r="C32" s="43" t="inlineStr">
        <is>
          <t>Brazilian Real</t>
        </is>
      </c>
      <c r="D32" s="43" t="n">
        <v>2</v>
      </c>
    </row>
    <row r="33">
      <c r="A33" s="43" t="inlineStr">
        <is>
          <t>MXN</t>
        </is>
      </c>
      <c r="B33" s="43" t="inlineStr">
        <is>
          <t>Mex$</t>
        </is>
      </c>
      <c r="C33" s="43" t="inlineStr">
        <is>
          <t>Mexican Peso</t>
        </is>
      </c>
      <c r="D33" s="43" t="n">
        <v>2</v>
      </c>
    </row>
    <row r="34">
      <c r="A34" s="43" t="inlineStr">
        <is>
          <t>CHF</t>
        </is>
      </c>
      <c r="B34" s="43" t="inlineStr">
        <is>
          <t>CHF</t>
        </is>
      </c>
      <c r="C34" s="43" t="inlineStr">
        <is>
          <t>Swiss Franc</t>
        </is>
      </c>
      <c r="D34" s="43" t="n">
        <v>2</v>
      </c>
    </row>
    <row r="35">
      <c r="A35" s="43" t="inlineStr">
        <is>
          <t>SEK</t>
        </is>
      </c>
      <c r="B35" s="43" t="inlineStr">
        <is>
          <t>kr</t>
        </is>
      </c>
      <c r="C35" s="43" t="inlineStr">
        <is>
          <t>Swedish Krona</t>
        </is>
      </c>
      <c r="D35" s="43" t="n">
        <v>2</v>
      </c>
    </row>
  </sheetData>
  <pageMargins left="0.2" right="0.2" top="0.2" bottom="0.2" header="0" footer="0"/>
  <pageSetup orientation="landscape" fitToHeight="1" fitToWidth="1"/>
</worksheet>
</file>

<file path=xl/worksheets/sheet6.xml><?xml version="1.0" encoding="utf-8"?>
<worksheet xmlns="http://schemas.openxmlformats.org/spreadsheetml/2006/main">
  <sheetPr>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4" t="inlineStr">
        <is>
          <t>Author</t>
        </is>
      </c>
      <c r="B3" s="44" t="inlineStr">
        <is>
          <t>Md Kamrul Hasan</t>
        </is>
      </c>
    </row>
    <row r="4">
      <c r="A4" s="4" t="inlineStr">
        <is>
          <t>GitHub</t>
        </is>
      </c>
      <c r="B4" s="44" t="inlineStr">
        <is>
          <t>https://github.com/Kamrul5242</t>
        </is>
      </c>
    </row>
    <row r="5">
      <c r="A5" s="4" t="inlineStr">
        <is>
          <t>Skill</t>
        </is>
      </c>
      <c r="B5" s="44" t="inlineStr">
        <is>
          <t>entrepreneur-business-intelligence-cfo</t>
        </is>
      </c>
    </row>
    <row r="6">
      <c r="A6" s="4" t="inlineStr">
        <is>
          <t>Version</t>
        </is>
      </c>
      <c r="B6" s="44" t="inlineStr">
        <is>
          <t>2.2.0</t>
        </is>
      </c>
    </row>
    <row r="7">
      <c r="A7" s="4" t="inlineStr">
        <is>
          <t>Signature ID</t>
        </is>
      </c>
      <c r="B7" s="44" t="inlineStr">
        <is>
          <t>MKH-EBIC-2.2.0</t>
        </is>
      </c>
    </row>
    <row r="8">
      <c r="A8" s="4" t="inlineStr">
        <is>
          <t>License</t>
        </is>
      </c>
      <c r="B8" s="44" t="inlineStr">
        <is>
          <t>MIT — attribution required</t>
        </is>
      </c>
    </row>
    <row r="9">
      <c r="A9" s="4" t="inlineStr">
        <is>
          <t>Default currency</t>
        </is>
      </c>
      <c r="B9" s="44" t="inlineStr">
        <is>
          <t>BDT (all 34 supported)</t>
        </is>
      </c>
    </row>
    <row r="10" ht="64" customHeight="1">
      <c r="A10" s="4" t="inlineStr">
        <is>
          <t>Notice</t>
        </is>
      </c>
      <c r="B10" s="44"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MKH-EBIC-2.2.0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MKH-EBIC-2.2.0. MIT License — attribution required.</dc:description>
  <dc:subject xmlns:dc="http://purl.org/dc/elements/1.1/">Digital Signature MKH-EBIC-2.2.0</dc:subject>
  <dc:identifier xmlns:dc="http://purl.org/dc/elements/1.1/">MKH-EBIC-2.2.0</dc:identifier>
  <dcterms:created xmlns:dcterms="http://purl.org/dc/terms/" xmlns:xsi="http://www.w3.org/2001/XMLSchema-instance" xsi:type="dcterms:W3CDTF">2026-08-26T19:18:50Z</dcterms:created>
  <dcterms:modified xmlns:dcterms="http://purl.org/dc/terms/" xmlns:xsi="http://www.w3.org/2001/XMLSchema-instance" xsi:type="dcterms:W3CDTF">2026-08-26T19:18:50Z</dcterms:modified>
  <cp:lastModifiedBy>Md Kamrul Hasan</cp:lastModifiedBy>
  <cp:category>Financial Analysis</cp:category>
  <cp:keywords>Md Kamrul Hasan, MKH-EBIC-2.2.0, CFO, dashboard, BDT, multi-currency</cp:keywords>
</cp:coreProperties>
</file>