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Setup" sheetId="1" state="visible" r:id="rId3"/>
    <sheet name="2. Dashboard" sheetId="2" state="visible" r:id="rId4"/>
    <sheet name="3. Scenarios" sheetId="3" state="visible" r:id="rId5"/>
    <sheet name="Ref" sheetId="4" state="visible" r:id="rId6"/>
    <sheet name="Signature" sheetId="5" state="visible" r:id="rId7"/>
  </sheets>
  <definedNames>
    <definedName function="false" hidden="false" localSheetId="0" name="_xlnm.Print_Area" vbProcedure="false">'1. Setup'!$A$1:$H$70</definedName>
    <definedName function="false" hidden="false" localSheetId="1" name="_xlnm.Print_Area" vbProcedure="false">'2. Dashboard'!$A$1:$H$70</definedName>
    <definedName function="false" hidden="false" localSheetId="2" name="_xlnm.Print_Area" vbProcedure="false">'3. Scenarios'!$A$1:$F$35</definedName>
    <definedName function="false" hidden="false" localSheetId="3" name="_xlnm.Print_Area" vbProcedure="false">Ref!$A$1:$D$36</definedName>
    <definedName function="false" hidden="false" localSheetId="4" name="_xlnm.Print_Area" vbProcedure="false">Signature!$A$1:$B$14</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Change this to switch every currency symbol in the workbook.
Md Kamrul Hasan · MKH-EBIC-2.1.0</t>
        </r>
      </text>
    </comment>
  </commentList>
</comments>
</file>

<file path=xl/sharedStrings.xml><?xml version="1.0" encoding="utf-8"?>
<sst xmlns="http://schemas.openxmlformats.org/spreadsheetml/2006/main" count="303" uniqueCount="264">
  <si>
    <t xml:space="preserve">CFO DASHBOARD  ·  SETUP &amp; INPUTS</t>
  </si>
  <si>
    <t xml:space="preserve">Fill ONLY the yellow cells. Everything else calculates automatically.</t>
  </si>
  <si>
    <t xml:space="preserve">CURRENCY</t>
  </si>
  <si>
    <t xml:space="preserve">Select currency</t>
  </si>
  <si>
    <t xml:space="preserve">BDT</t>
  </si>
  <si>
    <t xml:space="preserve">Symbol (auto)</t>
  </si>
  <si>
    <t xml:space="preserve">Currency name (auto)</t>
  </si>
  <si>
    <t xml:space="preserve">Reporting period</t>
  </si>
  <si>
    <t xml:space="preserve">2026-03 (monthly)</t>
  </si>
  <si>
    <t xml:space="preserve">INCOME  ·  enter your numbers</t>
  </si>
  <si>
    <t xml:space="preserve">Line item</t>
  </si>
  <si>
    <t xml:space="preserve">Amount</t>
  </si>
  <si>
    <t xml:space="preserve">Note</t>
  </si>
  <si>
    <t xml:space="preserve">Gross Revenue</t>
  </si>
  <si>
    <t xml:space="preserve">All sales before returns</t>
  </si>
  <si>
    <t xml:space="preserve">Returns &amp; Refunds</t>
  </si>
  <si>
    <t xml:space="preserve">Enter positive</t>
  </si>
  <si>
    <t xml:space="preserve">Discounts Given</t>
  </si>
  <si>
    <t xml:space="preserve">NET REVENUE</t>
  </si>
  <si>
    <t xml:space="preserve">COST OF GOODS SOLD</t>
  </si>
  <si>
    <t xml:space="preserve">Product / Material (LANDED)</t>
  </si>
  <si>
    <t xml:space="preserve">incl. freight, duty, clearing</t>
  </si>
  <si>
    <t xml:space="preserve">Direct Labour</t>
  </si>
  <si>
    <t xml:space="preserve">Production staff only</t>
  </si>
  <si>
    <t xml:space="preserve">Packaging</t>
  </si>
  <si>
    <t xml:space="preserve">TOTAL COGS</t>
  </si>
  <si>
    <t xml:space="preserve">OTHER VARIABLE COSTS  ·  the ones founders forget</t>
  </si>
  <si>
    <t xml:space="preserve">Outbound Shipping</t>
  </si>
  <si>
    <t xml:space="preserve">Your share</t>
  </si>
  <si>
    <t xml:space="preserve">Payment Gateway Fees</t>
  </si>
  <si>
    <t xml:space="preserve">% + fixed</t>
  </si>
  <si>
    <t xml:space="preserve">Marketplace Commission</t>
  </si>
  <si>
    <t xml:space="preserve">RTO / Failed Delivery</t>
  </si>
  <si>
    <t xml:space="preserve">Two-way shipping loss</t>
  </si>
  <si>
    <t xml:space="preserve">TOTAL OTHER VARIABLE</t>
  </si>
  <si>
    <t xml:space="preserve">OPERATING EXPENSES  ·  fixed</t>
  </si>
  <si>
    <t xml:space="preserve">Advertising Spend</t>
  </si>
  <si>
    <t xml:space="preserve">All platforms</t>
  </si>
  <si>
    <t xml:space="preserve">Salaries (non-production)</t>
  </si>
  <si>
    <t xml:space="preserve">Owner Compensation</t>
  </si>
  <si>
    <t xml:space="preserve">Market rate even if unpaid</t>
  </si>
  <si>
    <t xml:space="preserve">Rent</t>
  </si>
  <si>
    <t xml:space="preserve">Software &amp; Subscriptions</t>
  </si>
  <si>
    <t xml:space="preserve">Other Operating</t>
  </si>
  <si>
    <t xml:space="preserve">Depreciation &amp; Amortization</t>
  </si>
  <si>
    <t xml:space="preserve">Non-cash</t>
  </si>
  <si>
    <t xml:space="preserve">TOTAL OPEX</t>
  </si>
  <si>
    <t xml:space="preserve">BELOW THE LINE  ·  and cash-only items</t>
  </si>
  <si>
    <t xml:space="preserve">Interest Expense</t>
  </si>
  <si>
    <t xml:space="preserve">P&amp;L item</t>
  </si>
  <si>
    <t xml:space="preserve">Tax</t>
  </si>
  <si>
    <t xml:space="preserve">Loan Principal Repaid</t>
  </si>
  <si>
    <t xml:space="preserve">CASH ONLY — not a P&amp;L expense</t>
  </si>
  <si>
    <t xml:space="preserve">Capital Expenditure</t>
  </si>
  <si>
    <t xml:space="preserve">Cash only</t>
  </si>
  <si>
    <t xml:space="preserve">Owner Drawings</t>
  </si>
  <si>
    <t xml:space="preserve">OPERATIONS &amp; BALANCE  ·  for unit economics and cash cycle</t>
  </si>
  <si>
    <t xml:space="preserve">Value</t>
  </si>
  <si>
    <t xml:space="preserve">Number of Orders</t>
  </si>
  <si>
    <t xml:space="preserve">count</t>
  </si>
  <si>
    <t xml:space="preserve">New Customers</t>
  </si>
  <si>
    <t xml:space="preserve">Repeat Customers</t>
  </si>
  <si>
    <t xml:space="preserve">Customers Lost (churn)</t>
  </si>
  <si>
    <t xml:space="preserve">Customers at Period Start</t>
  </si>
  <si>
    <t xml:space="preserve">Cash &amp; Bank (closing)</t>
  </si>
  <si>
    <t xml:space="preserve">Accounts Receivable (avg)</t>
  </si>
  <si>
    <t xml:space="preserve">Inventory at Cost (avg)</t>
  </si>
  <si>
    <t xml:space="preserve">Accounts Payable (avg)</t>
  </si>
  <si>
    <t xml:space="preserve">Total Debt</t>
  </si>
  <si>
    <t xml:space="preserve">Current Assets</t>
  </si>
  <si>
    <t xml:space="preserve">Current Liabilities</t>
  </si>
  <si>
    <t xml:space="preserve">Total Equity</t>
  </si>
  <si>
    <t xml:space="preserve">Days in Period</t>
  </si>
  <si>
    <t xml:space="preserve">30 / 90 / 365</t>
  </si>
  <si>
    <t xml:space="preserve">LEGEND — Yellow fill + blue text = your input. Grey = calculated, do not edit. All figures in the currency chosen at B5.</t>
  </si>
  <si>
    <t xml:space="preserve">◆ Md Kamrul Hasan  ·  https://github.com/Kamrul5242  ·  Digital Signature MKH-EBIC-2.1.0  ·  Attribution required under MIT License</t>
  </si>
  <si>
    <t xml:space="preserve">EXECUTIVE DASHBOARD</t>
  </si>
  <si>
    <t xml:space="preserve">Live from Setup. Change any input and every figure here updates.</t>
  </si>
  <si>
    <t xml:space="preserve">KEY NUMBERS</t>
  </si>
  <si>
    <t xml:space="preserve">UNIT ECONOMICS</t>
  </si>
  <si>
    <t xml:space="preserve">Metric</t>
  </si>
  <si>
    <t xml:space="preserve">Status</t>
  </si>
  <si>
    <t xml:space="preserve">Net Revenue</t>
  </si>
  <si>
    <t xml:space="preserve">AOV</t>
  </si>
  <si>
    <t xml:space="preserve">Gross Profit</t>
  </si>
  <si>
    <t xml:space="preserve">Blended CAC</t>
  </si>
  <si>
    <t xml:space="preserve">Contribution (pre-ad)</t>
  </si>
  <si>
    <t xml:space="preserve">CM per order</t>
  </si>
  <si>
    <t xml:space="preserve">CM after Ads</t>
  </si>
  <si>
    <t xml:space="preserve">CM ratio (pre-ad)</t>
  </si>
  <si>
    <t xml:space="preserve">Operating Profit</t>
  </si>
  <si>
    <t xml:space="preserve">Break-even ROAS</t>
  </si>
  <si>
    <t xml:space="preserve">Net Profit</t>
  </si>
  <si>
    <t xml:space="preserve">Actual ROAS (blended)</t>
  </si>
  <si>
    <t xml:space="preserve">Gross Margin</t>
  </si>
  <si>
    <t xml:space="preserve">ROAS headroom</t>
  </si>
  <si>
    <t xml:space="preserve">Net Margin</t>
  </si>
  <si>
    <t xml:space="preserve">Repeat rate</t>
  </si>
  <si>
    <t xml:space="preserve">Churn rate</t>
  </si>
  <si>
    <t xml:space="preserve">CASH  ·  RUNWAY</t>
  </si>
  <si>
    <t xml:space="preserve">LIQUIDITY &amp; CASH CYCLE</t>
  </si>
  <si>
    <t xml:space="preserve">Operating Cash Flow (approx)</t>
  </si>
  <si>
    <t xml:space="preserve">Current Ratio</t>
  </si>
  <si>
    <t xml:space="preserve">Cash out below the line</t>
  </si>
  <si>
    <t xml:space="preserve">Quick Ratio</t>
  </si>
  <si>
    <t xml:space="preserve">Net Cash Change</t>
  </si>
  <si>
    <t xml:space="preserve">Debt / Equity</t>
  </si>
  <si>
    <t xml:space="preserve">Monthly Net Burn</t>
  </si>
  <si>
    <t xml:space="preserve">Interest Coverage</t>
  </si>
  <si>
    <t xml:space="preserve">Runway (months)</t>
  </si>
  <si>
    <t xml:space="preserve">DIO (days)</t>
  </si>
  <si>
    <t xml:space="preserve">DSO (days)</t>
  </si>
  <si>
    <t xml:space="preserve">DPO (days)</t>
  </si>
  <si>
    <t xml:space="preserve">Cash Conversion Cycle</t>
  </si>
  <si>
    <t xml:space="preserve">BREAK-EVEN</t>
  </si>
  <si>
    <t xml:space="preserve">Fixed costs (OPEX excl. ads)</t>
  </si>
  <si>
    <t xml:space="preserve">Break-even revenue</t>
  </si>
  <si>
    <t xml:space="preserve">Break-even orders</t>
  </si>
  <si>
    <t xml:space="preserve">Margin of safety</t>
  </si>
  <si>
    <t xml:space="preserve">VERDICT</t>
  </si>
  <si>
    <t xml:space="preserve">SCENARIO MODEL</t>
  </si>
  <si>
    <t xml:space="preserve">Edit the yellow drivers. Conservative / Base / Aggressive recalculate live.</t>
  </si>
  <si>
    <t xml:space="preserve">DRIVERS</t>
  </si>
  <si>
    <t xml:space="preserve">Driver</t>
  </si>
  <si>
    <t xml:space="preserve">Conservative</t>
  </si>
  <si>
    <t xml:space="preserve">Base</t>
  </si>
  <si>
    <t xml:space="preserve">Aggressive</t>
  </si>
  <si>
    <t xml:space="preserve">Revenue change</t>
  </si>
  <si>
    <t xml:space="preserve">COGS % change</t>
  </si>
  <si>
    <t xml:space="preserve">Ad spend change</t>
  </si>
  <si>
    <t xml:space="preserve">Fixed cost change</t>
  </si>
  <si>
    <t xml:space="preserve">OUTCOME</t>
  </si>
  <si>
    <t xml:space="preserve">Line</t>
  </si>
  <si>
    <t xml:space="preserve">COGS</t>
  </si>
  <si>
    <t xml:space="preserve">Other variable</t>
  </si>
  <si>
    <t xml:space="preserve">Ad spend</t>
  </si>
  <si>
    <t xml:space="preserve">Fixed OPEX</t>
  </si>
  <si>
    <t xml:space="preserve">Contribution after ads</t>
  </si>
  <si>
    <t xml:space="preserve">Operating Margin</t>
  </si>
  <si>
    <t xml:space="preserve">Verdict</t>
  </si>
  <si>
    <t xml:space="preserve">PRICE SENSITIVITY  ·  how much volume can you afford to lose?</t>
  </si>
  <si>
    <t xml:space="preserve">Price increase</t>
  </si>
  <si>
    <t xml:space="preserve">Max volume loss tolerable</t>
  </si>
  <si>
    <t xml:space="preserve">Code</t>
  </si>
  <si>
    <t xml:space="preserve">Symbol</t>
  </si>
  <si>
    <t xml:space="preserve">Name</t>
  </si>
  <si>
    <t xml:space="preserve">Decimals</t>
  </si>
  <si>
    <t xml:space="preserve">৳</t>
  </si>
  <si>
    <t xml:space="preserve">Bangladeshi Taka</t>
  </si>
  <si>
    <t xml:space="preserve">INR</t>
  </si>
  <si>
    <t xml:space="preserve">₹</t>
  </si>
  <si>
    <t xml:space="preserve">Indian Rupee</t>
  </si>
  <si>
    <t xml:space="preserve">PKR</t>
  </si>
  <si>
    <t xml:space="preserve">₨</t>
  </si>
  <si>
    <t xml:space="preserve">Pakistani Rupee</t>
  </si>
  <si>
    <t xml:space="preserve">LKR</t>
  </si>
  <si>
    <t xml:space="preserve">Rs</t>
  </si>
  <si>
    <t xml:space="preserve">Sri Lankan Rupee</t>
  </si>
  <si>
    <t xml:space="preserve">NPR</t>
  </si>
  <si>
    <t xml:space="preserve">रू</t>
  </si>
  <si>
    <t xml:space="preserve">Nepalese Rupee</t>
  </si>
  <si>
    <t xml:space="preserve">USD</t>
  </si>
  <si>
    <t xml:space="preserve">$</t>
  </si>
  <si>
    <t xml:space="preserve">US Dollar</t>
  </si>
  <si>
    <t xml:space="preserve">EUR</t>
  </si>
  <si>
    <t xml:space="preserve">€</t>
  </si>
  <si>
    <t xml:space="preserve">Euro</t>
  </si>
  <si>
    <t xml:space="preserve">GBP</t>
  </si>
  <si>
    <t xml:space="preserve">£</t>
  </si>
  <si>
    <t xml:space="preserve">Pound Sterling</t>
  </si>
  <si>
    <t xml:space="preserve">CAD</t>
  </si>
  <si>
    <t xml:space="preserve">C$</t>
  </si>
  <si>
    <t xml:space="preserve">Canadian Dollar</t>
  </si>
  <si>
    <t xml:space="preserve">AUD</t>
  </si>
  <si>
    <t xml:space="preserve">A$</t>
  </si>
  <si>
    <t xml:space="preserve">Australian Dollar</t>
  </si>
  <si>
    <t xml:space="preserve">AED</t>
  </si>
  <si>
    <t xml:space="preserve">د.إ</t>
  </si>
  <si>
    <t xml:space="preserve">UAE Dirham</t>
  </si>
  <si>
    <t xml:space="preserve">SAR</t>
  </si>
  <si>
    <t xml:space="preserve">SR</t>
  </si>
  <si>
    <t xml:space="preserve">Saudi Riyal</t>
  </si>
  <si>
    <t xml:space="preserve">QAR</t>
  </si>
  <si>
    <t xml:space="preserve">QR</t>
  </si>
  <si>
    <t xml:space="preserve">Qatari Riyal</t>
  </si>
  <si>
    <t xml:space="preserve">KWD</t>
  </si>
  <si>
    <t xml:space="preserve">KD</t>
  </si>
  <si>
    <t xml:space="preserve">Kuwaiti Dinar</t>
  </si>
  <si>
    <t xml:space="preserve">BHD</t>
  </si>
  <si>
    <t xml:space="preserve">BD</t>
  </si>
  <si>
    <t xml:space="preserve">Bahraini Dinar</t>
  </si>
  <si>
    <t xml:space="preserve">OMR</t>
  </si>
  <si>
    <t xml:space="preserve">OR</t>
  </si>
  <si>
    <t xml:space="preserve">Omani Rial</t>
  </si>
  <si>
    <t xml:space="preserve">MYR</t>
  </si>
  <si>
    <t xml:space="preserve">RM</t>
  </si>
  <si>
    <t xml:space="preserve">Malaysian Ringgit</t>
  </si>
  <si>
    <t xml:space="preserve">SGD</t>
  </si>
  <si>
    <t xml:space="preserve">S$</t>
  </si>
  <si>
    <t xml:space="preserve">Singapore Dollar</t>
  </si>
  <si>
    <t xml:space="preserve">THB</t>
  </si>
  <si>
    <t xml:space="preserve">฿</t>
  </si>
  <si>
    <t xml:space="preserve">Thai Baht</t>
  </si>
  <si>
    <t xml:space="preserve">IDR</t>
  </si>
  <si>
    <t xml:space="preserve">Rp</t>
  </si>
  <si>
    <t xml:space="preserve">Indonesian Rupiah</t>
  </si>
  <si>
    <t xml:space="preserve">VND</t>
  </si>
  <si>
    <t xml:space="preserve">₫</t>
  </si>
  <si>
    <t xml:space="preserve">Vietnamese Dong</t>
  </si>
  <si>
    <t xml:space="preserve">PHP</t>
  </si>
  <si>
    <t xml:space="preserve">₱</t>
  </si>
  <si>
    <t xml:space="preserve">Philippine Peso</t>
  </si>
  <si>
    <t xml:space="preserve">CNY</t>
  </si>
  <si>
    <t xml:space="preserve">CN¥</t>
  </si>
  <si>
    <t xml:space="preserve">Chinese Yuan</t>
  </si>
  <si>
    <t xml:space="preserve">JPY</t>
  </si>
  <si>
    <t xml:space="preserve">JP¥</t>
  </si>
  <si>
    <t xml:space="preserve">Japanese Yen</t>
  </si>
  <si>
    <t xml:space="preserve">KRW</t>
  </si>
  <si>
    <t xml:space="preserve">₩</t>
  </si>
  <si>
    <t xml:space="preserve">Korean Won</t>
  </si>
  <si>
    <t xml:space="preserve">TRY</t>
  </si>
  <si>
    <t xml:space="preserve">₺</t>
  </si>
  <si>
    <t xml:space="preserve">Turkish Lira</t>
  </si>
  <si>
    <t xml:space="preserve">EGP</t>
  </si>
  <si>
    <t xml:space="preserve">E£</t>
  </si>
  <si>
    <t xml:space="preserve">Egyptian Pound</t>
  </si>
  <si>
    <t xml:space="preserve">NGN</t>
  </si>
  <si>
    <t xml:space="preserve">₦</t>
  </si>
  <si>
    <t xml:space="preserve">Nigerian Naira</t>
  </si>
  <si>
    <t xml:space="preserve">ZAR</t>
  </si>
  <si>
    <t xml:space="preserve">R</t>
  </si>
  <si>
    <t xml:space="preserve">South African Rand</t>
  </si>
  <si>
    <t xml:space="preserve">KES</t>
  </si>
  <si>
    <t xml:space="preserve">KSh</t>
  </si>
  <si>
    <t xml:space="preserve">Kenyan Shilling</t>
  </si>
  <si>
    <t xml:space="preserve">BRL</t>
  </si>
  <si>
    <t xml:space="preserve">R$</t>
  </si>
  <si>
    <t xml:space="preserve">Brazilian Real</t>
  </si>
  <si>
    <t xml:space="preserve">MXN</t>
  </si>
  <si>
    <t xml:space="preserve">Mex$</t>
  </si>
  <si>
    <t xml:space="preserve">Mexican Peso</t>
  </si>
  <si>
    <t xml:space="preserve">CHF</t>
  </si>
  <si>
    <t xml:space="preserve">Swiss Franc</t>
  </si>
  <si>
    <t xml:space="preserve">SEK</t>
  </si>
  <si>
    <t xml:space="preserve">kr</t>
  </si>
  <si>
    <t xml:space="preserve">Swedish Krona</t>
  </si>
  <si>
    <t xml:space="preserve">DIGITAL SIGNATURE  ·  DO NOT MODIFY</t>
  </si>
  <si>
    <t xml:space="preserve">Author</t>
  </si>
  <si>
    <t xml:space="preserve">Md Kamrul Hasan</t>
  </si>
  <si>
    <t xml:space="preserve">GitHub</t>
  </si>
  <si>
    <t xml:space="preserve">https://github.com/Kamrul5242</t>
  </si>
  <si>
    <t xml:space="preserve">Skill</t>
  </si>
  <si>
    <t xml:space="preserve">entrepreneur-business-intelligence-cfo</t>
  </si>
  <si>
    <t xml:space="preserve">Version</t>
  </si>
  <si>
    <t xml:space="preserve">2.1.0</t>
  </si>
  <si>
    <t xml:space="preserve">Signature ID</t>
  </si>
  <si>
    <t xml:space="preserve">MKH-EBIC-2.1.0</t>
  </si>
  <si>
    <t xml:space="preserve">License</t>
  </si>
  <si>
    <t xml:space="preserve">MIT — attribution required</t>
  </si>
  <si>
    <t xml:space="preserve">Default currency</t>
  </si>
  <si>
    <t xml:space="preserve">BDT (all 34 supported)</t>
  </si>
  <si>
    <t xml:space="preserve">Notice</t>
  </si>
  <si>
    <t xml:space="preserve">This workbook and its formula design are the work of Md Kamrul Hasan. The MIT License permits reuse and modification provided this attribution is retained in all copies and substantial portions.</t>
  </si>
</sst>
</file>

<file path=xl/styles.xml><?xml version="1.0" encoding="utf-8"?>
<styleSheet xmlns="http://schemas.openxmlformats.org/spreadsheetml/2006/main">
  <numFmts count="10">
    <numFmt numFmtId="164" formatCode="General"/>
    <numFmt numFmtId="165" formatCode="#,##0;\(#,##0\);\-"/>
    <numFmt numFmtId="166" formatCode="#,##0"/>
    <numFmt numFmtId="167" formatCode="0"/>
    <numFmt numFmtId="168" formatCode="#,##0.00"/>
    <numFmt numFmtId="169" formatCode="0.0%"/>
    <numFmt numFmtId="170" formatCode="0.00\x"/>
    <numFmt numFmtId="171" formatCode="0.00"/>
    <numFmt numFmtId="172" formatCode="0.0"/>
    <numFmt numFmtId="173" formatCode="0%"/>
  </numFmts>
  <fonts count="23">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FFFFFF"/>
      <name val="Arial"/>
      <family val="0"/>
      <charset val="1"/>
    </font>
    <font>
      <b val="true"/>
      <sz val="11"/>
      <color rgb="FFFFFFFF"/>
      <name val="Arial"/>
      <family val="0"/>
      <charset val="1"/>
    </font>
    <font>
      <b val="true"/>
      <sz val="10"/>
      <color rgb="FF1A1A1A"/>
      <name val="Arial"/>
      <family val="0"/>
      <charset val="1"/>
    </font>
    <font>
      <b val="true"/>
      <sz val="10"/>
      <color rgb="FF0000FF"/>
      <name val="Arial"/>
      <family val="0"/>
      <charset val="1"/>
    </font>
    <font>
      <b val="true"/>
      <sz val="10"/>
      <color rgb="FF1A1A1A"/>
      <name val="FreeSans"/>
      <family val="2"/>
      <charset val="1"/>
    </font>
    <font>
      <sz val="10"/>
      <color rgb="FF1A1A1A"/>
      <name val="Arial"/>
      <family val="0"/>
      <charset val="1"/>
    </font>
    <font>
      <sz val="10"/>
      <color rgb="FF0000FF"/>
      <name val="Arial"/>
      <family val="0"/>
      <charset val="1"/>
    </font>
    <font>
      <b val="true"/>
      <sz val="10"/>
      <color rgb="FFFFFFFF"/>
      <name val="Arial"/>
      <family val="0"/>
      <charset val="1"/>
    </font>
    <font>
      <i val="true"/>
      <sz val="9"/>
      <color rgb="FF5A6672"/>
      <name val="Arial"/>
      <family val="0"/>
      <charset val="1"/>
    </font>
    <font>
      <b val="true"/>
      <sz val="9"/>
      <color rgb="FF1A1A1A"/>
      <name val="Arial"/>
      <family val="0"/>
      <charset val="1"/>
    </font>
    <font>
      <b val="true"/>
      <sz val="8"/>
      <color rgb="FFFFFFFF"/>
      <name val="Arial"/>
      <family val="0"/>
      <charset val="1"/>
    </font>
    <font>
      <sz val="10"/>
      <name val="Arial"/>
      <family val="2"/>
    </font>
    <font>
      <b val="true"/>
      <sz val="11"/>
      <color rgb="FF1A1A1A"/>
      <name val="Arial"/>
      <family val="0"/>
      <charset val="1"/>
    </font>
    <font>
      <b val="true"/>
      <sz val="12"/>
      <color rgb="FF1A1A1A"/>
      <name val="Arial"/>
      <family val="0"/>
      <charset val="1"/>
    </font>
    <font>
      <b val="true"/>
      <sz val="18"/>
      <color rgb="FF000000"/>
      <name val="Calibri"/>
      <family val="2"/>
    </font>
    <font>
      <sz val="10"/>
      <color rgb="FF000000"/>
      <name val="Calibri"/>
      <family val="2"/>
    </font>
    <font>
      <b val="true"/>
      <sz val="10"/>
      <color rgb="FF000000"/>
      <name val="Calibri"/>
      <family val="2"/>
    </font>
    <font>
      <sz val="9"/>
      <color rgb="FF1A1A1A"/>
      <name val="Arial"/>
      <family val="0"/>
      <charset val="1"/>
    </font>
  </fonts>
  <fills count="8">
    <fill>
      <patternFill patternType="none"/>
    </fill>
    <fill>
      <patternFill patternType="gray125"/>
    </fill>
    <fill>
      <patternFill patternType="solid">
        <fgColor rgb="FF0F2438"/>
        <bgColor rgb="FF1A1A1A"/>
      </patternFill>
    </fill>
    <fill>
      <patternFill patternType="solid">
        <fgColor rgb="FF1B3A57"/>
        <bgColor rgb="FF2E4A63"/>
      </patternFill>
    </fill>
    <fill>
      <patternFill patternType="solid">
        <fgColor rgb="FF2E4A63"/>
        <bgColor rgb="FF1B3A57"/>
      </patternFill>
    </fill>
    <fill>
      <patternFill patternType="solid">
        <fgColor rgb="FFF4F6F8"/>
        <bgColor rgb="FFF9F9F9"/>
      </patternFill>
    </fill>
    <fill>
      <patternFill patternType="solid">
        <fgColor rgb="FFFFFF00"/>
        <bgColor rgb="FFFFFF00"/>
      </patternFill>
    </fill>
    <fill>
      <patternFill patternType="solid">
        <fgColor rgb="FFEAEEF2"/>
        <bgColor rgb="FFF4F6F8"/>
      </patternFill>
    </fill>
  </fills>
  <borders count="2">
    <border diagonalUp="false" diagonalDown="false">
      <left/>
      <right/>
      <top/>
      <bottom/>
      <diagonal/>
    </border>
    <border diagonalUp="false" diagonalDown="false">
      <left style="thin">
        <color rgb="FFC7D0D9"/>
      </left>
      <right style="thin">
        <color rgb="FFC7D0D9"/>
      </right>
      <top style="thin">
        <color rgb="FFC7D0D9"/>
      </top>
      <bottom style="thin">
        <color rgb="FFC7D0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3" borderId="0" xfId="0" applyFont="true" applyBorder="true" applyAlignment="true" applyProtection="true">
      <alignment horizontal="left" vertical="center" textRotation="0" wrapText="false" indent="1" shrinkToFit="false"/>
      <protection locked="true" hidden="false"/>
    </xf>
    <xf numFmtId="164" fontId="6" fillId="4" borderId="0" xfId="0" applyFont="true" applyBorder="true" applyAlignment="true" applyProtection="true">
      <alignment horizontal="left" vertical="center" textRotation="0" wrapText="false" indent="1" shrinkToFit="false"/>
      <protection locked="true" hidden="false"/>
    </xf>
    <xf numFmtId="164" fontId="7" fillId="5" borderId="1" xfId="0" applyFont="true" applyBorder="true" applyAlignment="true" applyProtection="true">
      <alignment horizontal="left" vertical="center" textRotation="0" wrapText="false" indent="0" shrinkToFit="false"/>
      <protection locked="true" hidden="false"/>
    </xf>
    <xf numFmtId="164" fontId="8" fillId="6" borderId="1" xfId="0" applyFont="true" applyBorder="true" applyAlignment="true" applyProtection="true">
      <alignment horizontal="center" vertical="center" textRotation="0" wrapText="false" indent="0" shrinkToFit="false"/>
      <protection locked="true" hidden="false"/>
    </xf>
    <xf numFmtId="164" fontId="9" fillId="7" borderId="1" xfId="0" applyFont="true" applyBorder="true" applyAlignment="true" applyProtection="true">
      <alignment horizontal="center" vertical="center" textRotation="0" wrapText="false" indent="0" shrinkToFit="false"/>
      <protection locked="true" hidden="false"/>
    </xf>
    <xf numFmtId="164" fontId="10" fillId="7" borderId="1" xfId="0" applyFont="true" applyBorder="true" applyAlignment="true" applyProtection="true">
      <alignment horizontal="center" vertical="center" textRotation="0" wrapText="false" indent="0" shrinkToFit="false"/>
      <protection locked="true" hidden="false"/>
    </xf>
    <xf numFmtId="164" fontId="11" fillId="6" borderId="1" xfId="0" applyFont="true" applyBorder="true" applyAlignment="true" applyProtection="true">
      <alignment horizontal="center" vertical="center" textRotation="0" wrapText="false" indent="0" shrinkToFit="false"/>
      <protection locked="true" hidden="false"/>
    </xf>
    <xf numFmtId="164" fontId="12" fillId="4" borderId="1" xfId="0" applyFont="true" applyBorder="true" applyAlignment="true" applyProtection="true">
      <alignment horizontal="center" vertical="center" textRotation="0" wrapText="false" indent="0" shrinkToFit="false"/>
      <protection locked="true" hidden="false"/>
    </xf>
    <xf numFmtId="164" fontId="10" fillId="5" borderId="1" xfId="0" applyFont="true" applyBorder="true" applyAlignment="true" applyProtection="true">
      <alignment horizontal="left" vertical="center" textRotation="0" wrapText="false" indent="0" shrinkToFit="false"/>
      <protection locked="true" hidden="false"/>
    </xf>
    <xf numFmtId="165" fontId="11" fillId="6" borderId="1" xfId="0" applyFont="true" applyBorder="true" applyAlignment="true" applyProtection="true">
      <alignment horizontal="right" vertical="center" textRotation="0" wrapText="false" indent="0" shrinkToFit="false"/>
      <protection locked="true" hidden="false"/>
    </xf>
    <xf numFmtId="164" fontId="13" fillId="0" borderId="1" xfId="0" applyFont="true" applyBorder="true" applyAlignment="true" applyProtection="true">
      <alignment horizontal="left" vertical="center" textRotation="0" wrapText="true" indent="0" shrinkToFit="false"/>
      <protection locked="true" hidden="false"/>
    </xf>
    <xf numFmtId="164" fontId="7" fillId="7" borderId="1" xfId="0" applyFont="true" applyBorder="true" applyAlignment="true" applyProtection="true">
      <alignment horizontal="left" vertical="center" textRotation="0" wrapText="false" indent="0" shrinkToFit="false"/>
      <protection locked="true" hidden="false"/>
    </xf>
    <xf numFmtId="165" fontId="7" fillId="7" borderId="1" xfId="0" applyFont="true" applyBorder="true" applyAlignment="true" applyProtection="true">
      <alignment horizontal="right" vertical="bottom" textRotation="0" wrapText="false" indent="0" shrinkToFit="false"/>
      <protection locked="true" hidden="false"/>
    </xf>
    <xf numFmtId="166" fontId="11" fillId="6" borderId="1" xfId="0" applyFont="true" applyBorder="true" applyAlignment="true" applyProtection="true">
      <alignment horizontal="right" vertical="center" textRotation="0" wrapText="false" indent="0" shrinkToFit="false"/>
      <protection locked="true" hidden="false"/>
    </xf>
    <xf numFmtId="167" fontId="11" fillId="6" borderId="1" xfId="0" applyFont="true" applyBorder="true" applyAlignment="true" applyProtection="true">
      <alignment horizontal="right" vertical="center" textRotation="0" wrapText="false" indent="0" shrinkToFit="false"/>
      <protection locked="true" hidden="false"/>
    </xf>
    <xf numFmtId="164" fontId="14" fillId="7" borderId="1" xfId="0" applyFont="true" applyBorder="true" applyAlignment="true" applyProtection="true">
      <alignment horizontal="left" vertical="center" textRotation="0" wrapText="true" indent="0" shrinkToFit="false"/>
      <protection locked="true" hidden="false"/>
    </xf>
    <xf numFmtId="164" fontId="15" fillId="2" borderId="0" xfId="0" applyFont="true" applyBorder="true" applyAlignment="true" applyProtection="true">
      <alignment horizontal="center" vertical="center" textRotation="0" wrapText="false" indent="0" shrinkToFit="false"/>
      <protection locked="true" hidden="false"/>
    </xf>
    <xf numFmtId="164" fontId="9" fillId="7" borderId="0" xfId="0" applyFont="true" applyBorder="false" applyAlignment="true" applyProtection="true">
      <alignment horizontal="left" vertical="center" textRotation="0" wrapText="false" indent="0" shrinkToFit="false"/>
      <protection locked="true" hidden="false"/>
    </xf>
    <xf numFmtId="164" fontId="7" fillId="7" borderId="0" xfId="0" applyFont="true" applyBorder="false" applyAlignment="true" applyProtection="true">
      <alignment horizontal="left" vertical="center" textRotation="0" wrapText="false" indent="0" shrinkToFit="false"/>
      <protection locked="true" hidden="false"/>
    </xf>
    <xf numFmtId="165" fontId="17" fillId="0" borderId="1" xfId="0" applyFont="true" applyBorder="true" applyAlignment="true" applyProtection="true">
      <alignment horizontal="right"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false" indent="0" shrinkToFit="false"/>
      <protection locked="true" hidden="false"/>
    </xf>
    <xf numFmtId="168" fontId="7" fillId="0" borderId="1" xfId="0" applyFont="true" applyBorder="true" applyAlignment="true" applyProtection="true">
      <alignment horizontal="right" vertical="center" textRotation="0" wrapText="false" indent="0" shrinkToFit="false"/>
      <protection locked="true" hidden="false"/>
    </xf>
    <xf numFmtId="169" fontId="7" fillId="0" borderId="1" xfId="0" applyFont="true" applyBorder="true" applyAlignment="true" applyProtection="true">
      <alignment horizontal="right" vertical="center" textRotation="0" wrapText="false" indent="0" shrinkToFit="false"/>
      <protection locked="true" hidden="false"/>
    </xf>
    <xf numFmtId="170" fontId="7" fillId="0" borderId="1" xfId="0" applyFont="true" applyBorder="true" applyAlignment="true" applyProtection="true">
      <alignment horizontal="right" vertical="center" textRotation="0" wrapText="false" indent="0" shrinkToFit="false"/>
      <protection locked="true" hidden="false"/>
    </xf>
    <xf numFmtId="169" fontId="17" fillId="0" borderId="1" xfId="0" applyFont="true" applyBorder="true" applyAlignment="true" applyProtection="true">
      <alignment horizontal="right" vertical="center" textRotation="0" wrapText="false" indent="0" shrinkToFit="false"/>
      <protection locked="true" hidden="false"/>
    </xf>
    <xf numFmtId="165" fontId="7" fillId="0" borderId="1" xfId="0" applyFont="true" applyBorder="true" applyAlignment="true" applyProtection="true">
      <alignment horizontal="right" vertical="center" textRotation="0" wrapText="false" indent="0" shrinkToFit="false"/>
      <protection locked="true" hidden="false"/>
    </xf>
    <xf numFmtId="171" fontId="7" fillId="0" borderId="1" xfId="0" applyFont="true" applyBorder="true" applyAlignment="true" applyProtection="true">
      <alignment horizontal="right" vertical="center" textRotation="0" wrapText="false" indent="0" shrinkToFit="false"/>
      <protection locked="true" hidden="false"/>
    </xf>
    <xf numFmtId="172" fontId="7" fillId="0" borderId="1" xfId="0" applyFont="true" applyBorder="true" applyAlignment="true" applyProtection="true">
      <alignment horizontal="right" vertical="center" textRotation="0" wrapText="false" indent="0" shrinkToFit="false"/>
      <protection locked="true" hidden="false"/>
    </xf>
    <xf numFmtId="166" fontId="7" fillId="0" borderId="1" xfId="0" applyFont="true" applyBorder="true" applyAlignment="true" applyProtection="true">
      <alignment horizontal="right" vertical="center" textRotation="0" wrapText="false" indent="0" shrinkToFit="false"/>
      <protection locked="true" hidden="false"/>
    </xf>
    <xf numFmtId="164" fontId="18" fillId="7" borderId="1" xfId="0" applyFont="true" applyBorder="true" applyAlignment="true" applyProtection="true">
      <alignment horizontal="center" vertical="center" textRotation="0" wrapText="true" indent="0" shrinkToFit="false"/>
      <protection locked="true" hidden="false"/>
    </xf>
    <xf numFmtId="169" fontId="11" fillId="6" borderId="1" xfId="0" applyFont="true" applyBorder="true" applyAlignment="true" applyProtection="true">
      <alignment horizontal="center" vertical="center" textRotation="0" wrapText="false" indent="0" shrinkToFit="false"/>
      <protection locked="true" hidden="false"/>
    </xf>
    <xf numFmtId="165" fontId="10" fillId="0" borderId="1" xfId="0" applyFont="true" applyBorder="true" applyAlignment="true" applyProtection="true">
      <alignment horizontal="right" vertical="center" textRotation="0" wrapText="false" indent="0" shrinkToFit="false"/>
      <protection locked="true" hidden="false"/>
    </xf>
    <xf numFmtId="169" fontId="10" fillId="0" borderId="1" xfId="0" applyFont="true" applyBorder="true" applyAlignment="true" applyProtection="true">
      <alignment horizontal="right" vertical="center" textRotation="0" wrapText="false" indent="0" shrinkToFit="false"/>
      <protection locked="true" hidden="false"/>
    </xf>
    <xf numFmtId="165" fontId="7" fillId="0" borderId="1" xfId="0" applyFont="true" applyBorder="true" applyAlignment="true" applyProtection="true">
      <alignment horizontal="center" vertical="center" textRotation="0" wrapText="false" indent="0" shrinkToFit="false"/>
      <protection locked="true" hidden="false"/>
    </xf>
    <xf numFmtId="173" fontId="7" fillId="5" borderId="1" xfId="0" applyFont="true" applyBorder="true" applyAlignment="true" applyProtection="true">
      <alignment horizontal="center" vertical="center" textRotation="0" wrapText="false" indent="0" shrinkToFit="false"/>
      <protection locked="true" hidden="false"/>
    </xf>
    <xf numFmtId="169" fontId="7" fillId="0" borderId="1" xfId="0" applyFont="true" applyBorder="true" applyAlignment="true" applyProtection="true">
      <alignment horizontal="center" vertical="center" textRotation="0" wrapText="false" indent="0" shrinkToFit="false"/>
      <protection locked="true" hidden="false"/>
    </xf>
    <xf numFmtId="164" fontId="22" fillId="0" borderId="1" xfId="0" applyFont="true" applyBorder="true" applyAlignment="true" applyProtection="true">
      <alignment horizontal="left"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B3261E"/>
        </patternFill>
      </fill>
    </dxf>
    <dxf>
      <font>
        <name val="Arial"/>
        <charset val="1"/>
        <family val="0"/>
        <b val="1"/>
        <color rgb="FFFFFFFF"/>
      </font>
      <fill>
        <patternFill>
          <bgColor rgb="FF1E7B4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E7B45"/>
      <rgbColor rgb="FFD9D9D9"/>
      <rgbColor rgb="FF878787"/>
      <rgbColor rgb="FF9999FF"/>
      <rgbColor rgb="FF993366"/>
      <rgbColor rgb="FFF9F9F9"/>
      <rgbColor rgb="FFEAEEF2"/>
      <rgbColor rgb="FF660066"/>
      <rgbColor rgb="FFFF8080"/>
      <rgbColor rgb="FF0066CC"/>
      <rgbColor rgb="FFC7D0D9"/>
      <rgbColor rgb="FF000080"/>
      <rgbColor rgb="FFFF00FF"/>
      <rgbColor rgb="FFFFFF00"/>
      <rgbColor rgb="FF00FFFF"/>
      <rgbColor rgb="FF800080"/>
      <rgbColor rgb="FF800000"/>
      <rgbColor rgb="FF008080"/>
      <rgbColor rgb="FF0000FF"/>
      <rgbColor rgb="FF00CCFF"/>
      <rgbColor rgb="FFF4F6F8"/>
      <rgbColor rgb="FFCCFFCC"/>
      <rgbColor rgb="FFFFFF99"/>
      <rgbColor rgb="FF99CCFF"/>
      <rgbColor rgb="FFFF99CC"/>
      <rgbColor rgb="FFCC99FF"/>
      <rgbColor rgb="FFFFCC99"/>
      <rgbColor rgb="FF4F81BD"/>
      <rgbColor rgb="FF33CCCC"/>
      <rgbColor rgb="FF99CC00"/>
      <rgbColor rgb="FFFFCC00"/>
      <rgbColor rgb="FFFF9900"/>
      <rgbColor rgb="FFFF6600"/>
      <rgbColor rgb="FF5A6672"/>
      <rgbColor rgb="FF969696"/>
      <rgbColor rgb="FF1B3A57"/>
      <rgbColor rgb="FF339966"/>
      <rgbColor rgb="FF003300"/>
      <rgbColor rgb="FF1A1A1A"/>
      <rgbColor rgb="FFB3261E"/>
      <rgbColor rgb="FF993366"/>
      <rgbColor rgb="FF2E4A63"/>
      <rgbColor rgb="FF0F24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Profit Waterfall</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Dashboard'!$A$7:$A$12</c:f>
              <c:strCache>
                <c:ptCount val="6"/>
                <c:pt idx="0">
                  <c:v>Net Revenue</c:v>
                </c:pt>
                <c:pt idx="1">
                  <c:v>Gross Profit</c:v>
                </c:pt>
                <c:pt idx="2">
                  <c:v>Contribution (pre-ad)</c:v>
                </c:pt>
                <c:pt idx="3">
                  <c:v>CM after Ads</c:v>
                </c:pt>
                <c:pt idx="4">
                  <c:v>Operating Profit</c:v>
                </c:pt>
                <c:pt idx="5">
                  <c:v>Net Profit</c:v>
                </c:pt>
              </c:strCache>
            </c:strRef>
          </c:cat>
          <c:val>
            <c:numRef>
              <c:f>'2. Dashboard'!$B$7:$B$12</c:f>
              <c:numCache>
                <c:formatCode>#,##0;\(#,##0\);\-</c:formatCode>
                <c:ptCount val="6"/>
                <c:pt idx="0">
                  <c:v>850000</c:v>
                </c:pt>
                <c:pt idx="1">
                  <c:v>408000</c:v>
                </c:pt>
                <c:pt idx="2">
                  <c:v>284750</c:v>
                </c:pt>
                <c:pt idx="3">
                  <c:v>44750</c:v>
                </c:pt>
                <c:pt idx="4">
                  <c:v>-135250</c:v>
                </c:pt>
                <c:pt idx="5">
                  <c:v>-147250</c:v>
                </c:pt>
              </c:numCache>
            </c:numRef>
          </c:val>
        </c:ser>
        <c:gapWidth val="150"/>
        <c:overlap val="0"/>
        <c:axId val="70966952"/>
        <c:axId val="69810694"/>
      </c:barChart>
      <c:catAx>
        <c:axId val="7096695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810694"/>
        <c:crosses val="autoZero"/>
        <c:auto val="1"/>
        <c:lblAlgn val="ctr"/>
        <c:lblOffset val="100"/>
        <c:noMultiLvlLbl val="0"/>
      </c:catAx>
      <c:valAx>
        <c:axId val="6981069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Amount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9669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0</xdr:rowOff>
    </xdr:from>
    <xdr:to>
      <xdr:col>4</xdr:col>
      <xdr:colOff>855360</xdr:colOff>
      <xdr:row>51</xdr:row>
      <xdr:rowOff>21600</xdr:rowOff>
    </xdr:to>
    <xdr:graphicFrame>
      <xdr:nvGraphicFramePr>
        <xdr:cNvPr id="0" name="Chart 1"/>
        <xdr:cNvGraphicFramePr/>
      </xdr:nvGraphicFramePr>
      <xdr:xfrm>
        <a:off x="0" y="7667640"/>
        <a:ext cx="719892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8"/>
    <col collapsed="false" customWidth="true" hidden="false" outlineLevel="0" max="7" min="3" style="1" width="16"/>
    <col collapsed="false" customWidth="true" hidden="false" outlineLevel="0" max="8" min="8" style="1" width="22"/>
  </cols>
  <sheetData>
    <row r="1" customFormat="false" ht="30" hidden="false" customHeight="true" outlineLevel="0" collapsed="false">
      <c r="A1" s="2" t="s">
        <v>0</v>
      </c>
      <c r="B1" s="2"/>
      <c r="C1" s="2"/>
      <c r="D1" s="2"/>
      <c r="E1" s="2"/>
      <c r="F1" s="2"/>
      <c r="G1" s="2"/>
      <c r="H1" s="2"/>
    </row>
    <row r="2" customFormat="false" ht="18" hidden="false" customHeight="true" outlineLevel="0" collapsed="false">
      <c r="A2" s="3" t="s">
        <v>1</v>
      </c>
      <c r="B2" s="3"/>
      <c r="C2" s="3"/>
      <c r="D2" s="3"/>
      <c r="E2" s="3"/>
      <c r="F2" s="3"/>
      <c r="G2" s="3"/>
      <c r="H2" s="3"/>
    </row>
    <row r="4" customFormat="false" ht="21.75" hidden="false" customHeight="true" outlineLevel="0" collapsed="false">
      <c r="A4" s="4" t="s">
        <v>2</v>
      </c>
      <c r="B4" s="4"/>
      <c r="C4" s="4"/>
      <c r="D4" s="4"/>
      <c r="E4" s="4"/>
      <c r="F4" s="4"/>
      <c r="G4" s="4"/>
      <c r="H4" s="4"/>
    </row>
    <row r="5" customFormat="false" ht="15" hidden="false" customHeight="false" outlineLevel="0" collapsed="false">
      <c r="A5" s="5" t="s">
        <v>3</v>
      </c>
      <c r="B5" s="6" t="s">
        <v>4</v>
      </c>
    </row>
    <row r="6" customFormat="false" ht="15" hidden="false" customHeight="false" outlineLevel="0" collapsed="false">
      <c r="A6" s="5" t="s">
        <v>5</v>
      </c>
      <c r="B6" s="7" t="str">
        <f aca="false">IFERROR(INDEX(Ref!$B$2:$B$35,MATCH($B$5,Ref!$A$2:$A$35,0)),"?")</f>
        <v>৳</v>
      </c>
    </row>
    <row r="7" customFormat="false" ht="15" hidden="false" customHeight="false" outlineLevel="0" collapsed="false">
      <c r="A7" s="5" t="s">
        <v>6</v>
      </c>
      <c r="B7" s="8" t="str">
        <f aca="false">IFERROR(INDEX(Ref!$C$2:$C$35,MATCH($B$5,Ref!$A$2:$A$35,0)),"Unknown")</f>
        <v>Bangladeshi Taka</v>
      </c>
    </row>
    <row r="8" customFormat="false" ht="15" hidden="false" customHeight="false" outlineLevel="0" collapsed="false">
      <c r="A8" s="5" t="s">
        <v>7</v>
      </c>
      <c r="B8" s="9" t="s">
        <v>8</v>
      </c>
    </row>
    <row r="10" customFormat="false" ht="21.75" hidden="false" customHeight="true" outlineLevel="0" collapsed="false">
      <c r="A10" s="4" t="s">
        <v>9</v>
      </c>
      <c r="B10" s="4"/>
      <c r="C10" s="4"/>
      <c r="D10" s="4"/>
      <c r="E10" s="4"/>
      <c r="F10" s="4"/>
      <c r="G10" s="4"/>
      <c r="H10" s="4"/>
    </row>
    <row r="11" customFormat="false" ht="15" hidden="false" customHeight="false" outlineLevel="0" collapsed="false">
      <c r="A11" s="10" t="s">
        <v>10</v>
      </c>
      <c r="B11" s="10" t="s">
        <v>11</v>
      </c>
      <c r="C11" s="10" t="s">
        <v>12</v>
      </c>
    </row>
    <row r="12" customFormat="false" ht="22.35" hidden="false" customHeight="false" outlineLevel="0" collapsed="false">
      <c r="A12" s="11" t="s">
        <v>13</v>
      </c>
      <c r="B12" s="12" t="n">
        <v>920000</v>
      </c>
      <c r="C12" s="13" t="s">
        <v>14</v>
      </c>
    </row>
    <row r="13" customFormat="false" ht="15" hidden="false" customHeight="false" outlineLevel="0" collapsed="false">
      <c r="A13" s="11" t="s">
        <v>15</v>
      </c>
      <c r="B13" s="12" t="n">
        <v>70000</v>
      </c>
      <c r="C13" s="13" t="s">
        <v>16</v>
      </c>
    </row>
    <row r="14" customFormat="false" ht="15" hidden="false" customHeight="false" outlineLevel="0" collapsed="false">
      <c r="A14" s="11" t="s">
        <v>17</v>
      </c>
      <c r="B14" s="12" t="n">
        <v>0</v>
      </c>
      <c r="C14" s="13"/>
    </row>
    <row r="15" customFormat="false" ht="15" hidden="false" customHeight="false" outlineLevel="0" collapsed="false">
      <c r="A15" s="14" t="s">
        <v>18</v>
      </c>
      <c r="B15" s="15" t="n">
        <f aca="false">B12-B13-B14</f>
        <v>850000</v>
      </c>
      <c r="C15" s="14"/>
    </row>
    <row r="17" customFormat="false" ht="21.75" hidden="false" customHeight="true" outlineLevel="0" collapsed="false">
      <c r="A17" s="4" t="s">
        <v>19</v>
      </c>
      <c r="B17" s="4"/>
      <c r="C17" s="4"/>
      <c r="D17" s="4"/>
      <c r="E17" s="4"/>
      <c r="F17" s="4"/>
      <c r="G17" s="4"/>
      <c r="H17" s="4"/>
    </row>
    <row r="18" customFormat="false" ht="15" hidden="false" customHeight="false" outlineLevel="0" collapsed="false">
      <c r="A18" s="10" t="s">
        <v>10</v>
      </c>
      <c r="B18" s="10" t="s">
        <v>11</v>
      </c>
      <c r="C18" s="10" t="s">
        <v>12</v>
      </c>
    </row>
    <row r="19" customFormat="false" ht="22.35" hidden="false" customHeight="false" outlineLevel="0" collapsed="false">
      <c r="A19" s="11" t="s">
        <v>20</v>
      </c>
      <c r="B19" s="12" t="n">
        <v>380000</v>
      </c>
      <c r="C19" s="13" t="s">
        <v>21</v>
      </c>
    </row>
    <row r="20" customFormat="false" ht="15" hidden="false" customHeight="false" outlineLevel="0" collapsed="false">
      <c r="A20" s="11" t="s">
        <v>22</v>
      </c>
      <c r="B20" s="12" t="n">
        <v>40000</v>
      </c>
      <c r="C20" s="13" t="s">
        <v>23</v>
      </c>
    </row>
    <row r="21" customFormat="false" ht="15" hidden="false" customHeight="false" outlineLevel="0" collapsed="false">
      <c r="A21" s="11" t="s">
        <v>24</v>
      </c>
      <c r="B21" s="12" t="n">
        <v>22000</v>
      </c>
      <c r="C21" s="13"/>
    </row>
    <row r="22" customFormat="false" ht="15" hidden="false" customHeight="false" outlineLevel="0" collapsed="false">
      <c r="A22" s="14" t="s">
        <v>25</v>
      </c>
      <c r="B22" s="15" t="n">
        <f aca="false">SUM(B19:B21)</f>
        <v>442000</v>
      </c>
      <c r="C22" s="14"/>
    </row>
    <row r="24" customFormat="false" ht="21.75" hidden="false" customHeight="true" outlineLevel="0" collapsed="false">
      <c r="A24" s="4" t="s">
        <v>26</v>
      </c>
      <c r="B24" s="4"/>
      <c r="C24" s="4"/>
      <c r="D24" s="4"/>
      <c r="E24" s="4"/>
      <c r="F24" s="4"/>
      <c r="G24" s="4"/>
      <c r="H24" s="4"/>
    </row>
    <row r="25" customFormat="false" ht="15" hidden="false" customHeight="false" outlineLevel="0" collapsed="false">
      <c r="A25" s="10" t="s">
        <v>10</v>
      </c>
      <c r="B25" s="10" t="s">
        <v>11</v>
      </c>
      <c r="C25" s="10" t="s">
        <v>12</v>
      </c>
    </row>
    <row r="26" customFormat="false" ht="15" hidden="false" customHeight="false" outlineLevel="0" collapsed="false">
      <c r="A26" s="11" t="s">
        <v>27</v>
      </c>
      <c r="B26" s="12" t="n">
        <v>102000</v>
      </c>
      <c r="C26" s="13" t="s">
        <v>28</v>
      </c>
    </row>
    <row r="27" customFormat="false" ht="15" hidden="false" customHeight="false" outlineLevel="0" collapsed="false">
      <c r="A27" s="11" t="s">
        <v>29</v>
      </c>
      <c r="B27" s="12" t="n">
        <v>21250</v>
      </c>
      <c r="C27" s="13" t="s">
        <v>30</v>
      </c>
    </row>
    <row r="28" customFormat="false" ht="15" hidden="false" customHeight="false" outlineLevel="0" collapsed="false">
      <c r="A28" s="11" t="s">
        <v>31</v>
      </c>
      <c r="B28" s="12" t="n">
        <v>0</v>
      </c>
      <c r="C28" s="13"/>
    </row>
    <row r="29" customFormat="false" ht="22.35" hidden="false" customHeight="false" outlineLevel="0" collapsed="false">
      <c r="A29" s="11" t="s">
        <v>32</v>
      </c>
      <c r="B29" s="12" t="n">
        <v>0</v>
      </c>
      <c r="C29" s="13" t="s">
        <v>33</v>
      </c>
    </row>
    <row r="30" customFormat="false" ht="15" hidden="false" customHeight="false" outlineLevel="0" collapsed="false">
      <c r="A30" s="14" t="s">
        <v>34</v>
      </c>
      <c r="B30" s="15" t="n">
        <f aca="false">SUM(B26:B29)</f>
        <v>123250</v>
      </c>
      <c r="C30" s="14"/>
    </row>
    <row r="32" customFormat="false" ht="21.75" hidden="false" customHeight="true" outlineLevel="0" collapsed="false">
      <c r="A32" s="4" t="s">
        <v>35</v>
      </c>
      <c r="B32" s="4"/>
      <c r="C32" s="4"/>
      <c r="D32" s="4"/>
      <c r="E32" s="4"/>
      <c r="F32" s="4"/>
      <c r="G32" s="4"/>
      <c r="H32" s="4"/>
    </row>
    <row r="33" customFormat="false" ht="15" hidden="false" customHeight="false" outlineLevel="0" collapsed="false">
      <c r="A33" s="10" t="s">
        <v>10</v>
      </c>
      <c r="B33" s="10" t="s">
        <v>11</v>
      </c>
      <c r="C33" s="10" t="s">
        <v>12</v>
      </c>
    </row>
    <row r="34" customFormat="false" ht="15" hidden="false" customHeight="false" outlineLevel="0" collapsed="false">
      <c r="A34" s="11" t="s">
        <v>36</v>
      </c>
      <c r="B34" s="12" t="n">
        <v>240000</v>
      </c>
      <c r="C34" s="13" t="s">
        <v>37</v>
      </c>
    </row>
    <row r="35" customFormat="false" ht="15" hidden="false" customHeight="false" outlineLevel="0" collapsed="false">
      <c r="A35" s="11" t="s">
        <v>38</v>
      </c>
      <c r="B35" s="12" t="n">
        <v>95000</v>
      </c>
      <c r="C35" s="13"/>
    </row>
    <row r="36" customFormat="false" ht="22.35" hidden="false" customHeight="false" outlineLevel="0" collapsed="false">
      <c r="A36" s="11" t="s">
        <v>39</v>
      </c>
      <c r="B36" s="12" t="n">
        <v>40000</v>
      </c>
      <c r="C36" s="13" t="s">
        <v>40</v>
      </c>
    </row>
    <row r="37" customFormat="false" ht="15" hidden="false" customHeight="false" outlineLevel="0" collapsed="false">
      <c r="A37" s="11" t="s">
        <v>41</v>
      </c>
      <c r="B37" s="12" t="n">
        <v>25000</v>
      </c>
      <c r="C37" s="13"/>
    </row>
    <row r="38" customFormat="false" ht="15" hidden="false" customHeight="false" outlineLevel="0" collapsed="false">
      <c r="A38" s="11" t="s">
        <v>42</v>
      </c>
      <c r="B38" s="12" t="n">
        <v>8000</v>
      </c>
      <c r="C38" s="13"/>
    </row>
    <row r="39" customFormat="false" ht="15" hidden="false" customHeight="false" outlineLevel="0" collapsed="false">
      <c r="A39" s="11" t="s">
        <v>43</v>
      </c>
      <c r="B39" s="12" t="n">
        <v>12000</v>
      </c>
      <c r="C39" s="13"/>
    </row>
    <row r="40" customFormat="false" ht="15" hidden="false" customHeight="false" outlineLevel="0" collapsed="false">
      <c r="A40" s="11" t="s">
        <v>44</v>
      </c>
      <c r="B40" s="12" t="n">
        <v>0</v>
      </c>
      <c r="C40" s="13" t="s">
        <v>45</v>
      </c>
    </row>
    <row r="41" customFormat="false" ht="15" hidden="false" customHeight="false" outlineLevel="0" collapsed="false">
      <c r="A41" s="14" t="s">
        <v>46</v>
      </c>
      <c r="B41" s="15" t="n">
        <f aca="false">SUM(B34:B40)</f>
        <v>420000</v>
      </c>
      <c r="C41" s="14"/>
    </row>
    <row r="43" customFormat="false" ht="21.75" hidden="false" customHeight="true" outlineLevel="0" collapsed="false">
      <c r="A43" s="4" t="s">
        <v>47</v>
      </c>
      <c r="B43" s="4"/>
      <c r="C43" s="4"/>
      <c r="D43" s="4"/>
      <c r="E43" s="4"/>
      <c r="F43" s="4"/>
      <c r="G43" s="4"/>
      <c r="H43" s="4"/>
    </row>
    <row r="44" customFormat="false" ht="15" hidden="false" customHeight="false" outlineLevel="0" collapsed="false">
      <c r="A44" s="10" t="s">
        <v>10</v>
      </c>
      <c r="B44" s="10" t="s">
        <v>11</v>
      </c>
      <c r="C44" s="10" t="s">
        <v>12</v>
      </c>
    </row>
    <row r="45" customFormat="false" ht="15" hidden="false" customHeight="false" outlineLevel="0" collapsed="false">
      <c r="A45" s="11" t="s">
        <v>48</v>
      </c>
      <c r="B45" s="12" t="n">
        <v>12000</v>
      </c>
      <c r="C45" s="13" t="s">
        <v>49</v>
      </c>
    </row>
    <row r="46" customFormat="false" ht="15" hidden="false" customHeight="false" outlineLevel="0" collapsed="false">
      <c r="A46" s="11" t="s">
        <v>50</v>
      </c>
      <c r="B46" s="12" t="n">
        <v>0</v>
      </c>
      <c r="C46" s="13"/>
    </row>
    <row r="47" customFormat="false" ht="22.35" hidden="false" customHeight="false" outlineLevel="0" collapsed="false">
      <c r="A47" s="11" t="s">
        <v>51</v>
      </c>
      <c r="B47" s="12" t="n">
        <v>35000</v>
      </c>
      <c r="C47" s="13" t="s">
        <v>52</v>
      </c>
    </row>
    <row r="48" customFormat="false" ht="15" hidden="false" customHeight="false" outlineLevel="0" collapsed="false">
      <c r="A48" s="11" t="s">
        <v>53</v>
      </c>
      <c r="B48" s="12" t="n">
        <v>0</v>
      </c>
      <c r="C48" s="13" t="s">
        <v>54</v>
      </c>
    </row>
    <row r="49" customFormat="false" ht="22.35" hidden="false" customHeight="false" outlineLevel="0" collapsed="false">
      <c r="A49" s="11" t="s">
        <v>55</v>
      </c>
      <c r="B49" s="12" t="n">
        <v>60000</v>
      </c>
      <c r="C49" s="13" t="s">
        <v>52</v>
      </c>
    </row>
    <row r="51" customFormat="false" ht="21.75" hidden="false" customHeight="true" outlineLevel="0" collapsed="false">
      <c r="A51" s="4" t="s">
        <v>56</v>
      </c>
      <c r="B51" s="4"/>
      <c r="C51" s="4"/>
      <c r="D51" s="4"/>
      <c r="E51" s="4"/>
      <c r="F51" s="4"/>
      <c r="G51" s="4"/>
      <c r="H51" s="4"/>
    </row>
    <row r="52" customFormat="false" ht="15" hidden="false" customHeight="false" outlineLevel="0" collapsed="false">
      <c r="A52" s="10" t="s">
        <v>10</v>
      </c>
      <c r="B52" s="10" t="s">
        <v>57</v>
      </c>
      <c r="C52" s="10" t="s">
        <v>12</v>
      </c>
    </row>
    <row r="53" customFormat="false" ht="15" hidden="false" customHeight="false" outlineLevel="0" collapsed="false">
      <c r="A53" s="11" t="s">
        <v>58</v>
      </c>
      <c r="B53" s="16" t="n">
        <v>1700</v>
      </c>
      <c r="C53" s="13" t="s">
        <v>59</v>
      </c>
    </row>
    <row r="54" customFormat="false" ht="15" hidden="false" customHeight="false" outlineLevel="0" collapsed="false">
      <c r="A54" s="11" t="s">
        <v>60</v>
      </c>
      <c r="B54" s="16" t="n">
        <v>1200</v>
      </c>
      <c r="C54" s="13" t="s">
        <v>59</v>
      </c>
    </row>
    <row r="55" customFormat="false" ht="15" hidden="false" customHeight="false" outlineLevel="0" collapsed="false">
      <c r="A55" s="11" t="s">
        <v>61</v>
      </c>
      <c r="B55" s="16" t="n">
        <v>500</v>
      </c>
      <c r="C55" s="13" t="s">
        <v>59</v>
      </c>
    </row>
    <row r="56" customFormat="false" ht="15" hidden="false" customHeight="false" outlineLevel="0" collapsed="false">
      <c r="A56" s="11" t="s">
        <v>62</v>
      </c>
      <c r="B56" s="16" t="n">
        <v>90</v>
      </c>
      <c r="C56" s="13" t="s">
        <v>59</v>
      </c>
    </row>
    <row r="57" customFormat="false" ht="15" hidden="false" customHeight="false" outlineLevel="0" collapsed="false">
      <c r="A57" s="11" t="s">
        <v>63</v>
      </c>
      <c r="B57" s="16" t="n">
        <v>1500</v>
      </c>
      <c r="C57" s="13" t="s">
        <v>59</v>
      </c>
    </row>
    <row r="58" customFormat="false" ht="15" hidden="false" customHeight="false" outlineLevel="0" collapsed="false">
      <c r="A58" s="11" t="s">
        <v>64</v>
      </c>
      <c r="B58" s="12" t="n">
        <v>850000</v>
      </c>
      <c r="C58" s="13"/>
    </row>
    <row r="59" customFormat="false" ht="15" hidden="false" customHeight="false" outlineLevel="0" collapsed="false">
      <c r="A59" s="11" t="s">
        <v>65</v>
      </c>
      <c r="B59" s="12" t="n">
        <v>310000</v>
      </c>
      <c r="C59" s="13"/>
    </row>
    <row r="60" customFormat="false" ht="15" hidden="false" customHeight="false" outlineLevel="0" collapsed="false">
      <c r="A60" s="11" t="s">
        <v>66</v>
      </c>
      <c r="B60" s="12" t="n">
        <v>640000</v>
      </c>
      <c r="C60" s="13"/>
    </row>
    <row r="61" customFormat="false" ht="15" hidden="false" customHeight="false" outlineLevel="0" collapsed="false">
      <c r="A61" s="11" t="s">
        <v>67</v>
      </c>
      <c r="B61" s="12" t="n">
        <v>220000</v>
      </c>
      <c r="C61" s="13"/>
    </row>
    <row r="62" customFormat="false" ht="15" hidden="false" customHeight="false" outlineLevel="0" collapsed="false">
      <c r="A62" s="11" t="s">
        <v>68</v>
      </c>
      <c r="B62" s="12" t="n">
        <v>700000</v>
      </c>
      <c r="C62" s="13"/>
    </row>
    <row r="63" customFormat="false" ht="15" hidden="false" customHeight="false" outlineLevel="0" collapsed="false">
      <c r="A63" s="11" t="s">
        <v>69</v>
      </c>
      <c r="B63" s="12" t="n">
        <v>1800000</v>
      </c>
      <c r="C63" s="13"/>
    </row>
    <row r="64" customFormat="false" ht="15" hidden="false" customHeight="false" outlineLevel="0" collapsed="false">
      <c r="A64" s="11" t="s">
        <v>70</v>
      </c>
      <c r="B64" s="12" t="n">
        <v>950000</v>
      </c>
      <c r="C64" s="13"/>
    </row>
    <row r="65" customFormat="false" ht="15" hidden="false" customHeight="false" outlineLevel="0" collapsed="false">
      <c r="A65" s="11" t="s">
        <v>71</v>
      </c>
      <c r="B65" s="12" t="n">
        <v>1400000</v>
      </c>
      <c r="C65" s="13"/>
    </row>
    <row r="66" customFormat="false" ht="15" hidden="false" customHeight="false" outlineLevel="0" collapsed="false">
      <c r="A66" s="11" t="s">
        <v>72</v>
      </c>
      <c r="B66" s="17" t="n">
        <v>30</v>
      </c>
      <c r="C66" s="13" t="s">
        <v>73</v>
      </c>
    </row>
    <row r="68" customFormat="false" ht="27.75" hidden="false" customHeight="true" outlineLevel="0" collapsed="false">
      <c r="A68" s="18" t="s">
        <v>74</v>
      </c>
      <c r="B68" s="18"/>
      <c r="C68" s="18"/>
    </row>
    <row r="70" customFormat="false" ht="19.5" hidden="false" customHeight="true" outlineLevel="0" collapsed="false">
      <c r="A70" s="19" t="s">
        <v>75</v>
      </c>
      <c r="B70" s="19"/>
      <c r="C70" s="19"/>
    </row>
  </sheetData>
  <mergeCells count="11">
    <mergeCell ref="A1:H1"/>
    <mergeCell ref="A2:H2"/>
    <mergeCell ref="A4:H4"/>
    <mergeCell ref="A10:H10"/>
    <mergeCell ref="A17:H17"/>
    <mergeCell ref="A24:H24"/>
    <mergeCell ref="A32:H32"/>
    <mergeCell ref="A43:H43"/>
    <mergeCell ref="A51:H51"/>
    <mergeCell ref="A68:C68"/>
    <mergeCell ref="A70:C70"/>
  </mergeCells>
  <dataValidations count="1">
    <dataValidation allowBlank="false" errorStyle="stop" operator="between" prompt="Pick any of 34 currencies" promptTitle="Currency" showDropDown="false" showErrorMessage="false" showInputMessage="false" sqref="B5" type="list">
      <formula1>Ref!$A$2:$A$35</formula1>
      <formula2>0</formula2>
    </dataValidation>
  </dataValidations>
  <printOptions headings="false" gridLines="false" gridLinesSet="true" horizontalCentered="false" verticalCentered="false"/>
  <pageMargins left="0.2" right="0.2" top="0.2" bottom="0.2"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0"/>
    <col collapsed="false" customWidth="true" hidden="false" outlineLevel="0" max="3" min="3" style="1" width="14"/>
    <col collapsed="false" customWidth="true" hidden="false" outlineLevel="0" max="4" min="4" style="1" width="26"/>
    <col collapsed="false" customWidth="true" hidden="false" outlineLevel="0" max="5" min="5" style="1" width="20"/>
    <col collapsed="false" customWidth="true" hidden="false" outlineLevel="0" max="6" min="6" style="1" width="14"/>
    <col collapsed="false" customWidth="true" hidden="false" outlineLevel="0" max="7" min="7" style="1" width="24"/>
    <col collapsed="false" customWidth="true" hidden="false" outlineLevel="0" max="8" min="8" style="1" width="16"/>
  </cols>
  <sheetData>
    <row r="1" customFormat="false" ht="30" hidden="false" customHeight="true" outlineLevel="0" collapsed="false">
      <c r="A1" s="2" t="s">
        <v>76</v>
      </c>
      <c r="B1" s="2"/>
      <c r="C1" s="2"/>
      <c r="D1" s="2"/>
      <c r="E1" s="2"/>
      <c r="F1" s="2"/>
      <c r="G1" s="2"/>
      <c r="H1" s="2"/>
    </row>
    <row r="2" customFormat="false" ht="18" hidden="false" customHeight="true" outlineLevel="0" collapsed="false">
      <c r="A2" s="3" t="s">
        <v>77</v>
      </c>
      <c r="B2" s="3"/>
      <c r="C2" s="3"/>
      <c r="D2" s="3"/>
      <c r="E2" s="3"/>
      <c r="F2" s="3"/>
      <c r="G2" s="3"/>
      <c r="H2" s="3"/>
    </row>
    <row r="3" customFormat="false" ht="15" hidden="false" customHeight="false" outlineLevel="0" collapsed="false">
      <c r="A3" s="20" t="str">
        <f aca="false">""&amp;'1. Setup'!$B$6&amp;"  ·  Period: "&amp;'1. Setup'!$B$8</f>
        <v>৳  ·  Period: 2026-03 (monthly)</v>
      </c>
      <c r="B3" s="21"/>
      <c r="C3" s="21"/>
      <c r="D3" s="21"/>
      <c r="E3" s="21"/>
      <c r="F3" s="21"/>
      <c r="G3" s="21"/>
      <c r="H3" s="21"/>
    </row>
    <row r="5" customFormat="false" ht="21.75" hidden="false" customHeight="true" outlineLevel="0" collapsed="false">
      <c r="A5" s="4" t="s">
        <v>78</v>
      </c>
      <c r="B5" s="4"/>
      <c r="C5" s="4"/>
      <c r="E5" s="4" t="s">
        <v>79</v>
      </c>
      <c r="F5" s="4"/>
      <c r="G5" s="4"/>
      <c r="H5" s="4"/>
    </row>
    <row r="6" customFormat="false" ht="15" hidden="false" customHeight="false" outlineLevel="0" collapsed="false">
      <c r="A6" s="10" t="s">
        <v>80</v>
      </c>
      <c r="B6" s="10" t="s">
        <v>57</v>
      </c>
      <c r="C6" s="10" t="s">
        <v>81</v>
      </c>
      <c r="E6" s="10" t="s">
        <v>80</v>
      </c>
      <c r="F6" s="10" t="s">
        <v>57</v>
      </c>
    </row>
    <row r="7" customFormat="false" ht="15" hidden="false" customHeight="false" outlineLevel="0" collapsed="false">
      <c r="A7" s="5" t="s">
        <v>82</v>
      </c>
      <c r="B7" s="22" t="n">
        <f aca="false">'1. Setup'!$B$15</f>
        <v>850000</v>
      </c>
      <c r="C7" s="23" t="str">
        <f aca="false">IF(B7&gt;0,"OK",IF(B7=0,"FLAT","LOSS"))</f>
        <v>OK</v>
      </c>
      <c r="E7" s="11" t="s">
        <v>83</v>
      </c>
      <c r="F7" s="24" t="n">
        <f aca="false">IFERROR('1. Setup'!$B$15/'1. Setup'!$B$53,0)</f>
        <v>500</v>
      </c>
    </row>
    <row r="8" customFormat="false" ht="15" hidden="false" customHeight="false" outlineLevel="0" collapsed="false">
      <c r="A8" s="5" t="s">
        <v>84</v>
      </c>
      <c r="B8" s="22" t="n">
        <f aca="false">'1. Setup'!$B$15-'1. Setup'!$B$22</f>
        <v>408000</v>
      </c>
      <c r="C8" s="23" t="str">
        <f aca="false">IF(B8&gt;0,"OK",IF(B8=0,"FLAT","LOSS"))</f>
        <v>OK</v>
      </c>
      <c r="E8" s="11" t="s">
        <v>85</v>
      </c>
      <c r="F8" s="24" t="n">
        <f aca="false">IFERROR('1. Setup'!$B$34/'1. Setup'!$B$54,0)</f>
        <v>200</v>
      </c>
    </row>
    <row r="9" customFormat="false" ht="15" hidden="false" customHeight="false" outlineLevel="0" collapsed="false">
      <c r="A9" s="5" t="s">
        <v>86</v>
      </c>
      <c r="B9" s="22" t="n">
        <f aca="false">'1. Setup'!$B$15-'1. Setup'!$B$22-'1. Setup'!$B$30</f>
        <v>284750</v>
      </c>
      <c r="C9" s="23" t="str">
        <f aca="false">IF(B9&gt;0,"OK",IF(B9=0,"FLAT","LOSS"))</f>
        <v>OK</v>
      </c>
      <c r="E9" s="11" t="s">
        <v>87</v>
      </c>
      <c r="F9" s="24" t="n">
        <f aca="false">IFERROR(('1. Setup'!$B$15-'1. Setup'!$B$22-'1. Setup'!$B$30-'1. Setup'!$B$34)/'1. Setup'!$B$53,0)</f>
        <v>26.3235294117647</v>
      </c>
    </row>
    <row r="10" customFormat="false" ht="15" hidden="false" customHeight="false" outlineLevel="0" collapsed="false">
      <c r="A10" s="5" t="s">
        <v>88</v>
      </c>
      <c r="B10" s="22" t="n">
        <f aca="false">'1. Setup'!$B$15-'1. Setup'!$B$22-'1. Setup'!$B$30-'1. Setup'!$B$34</f>
        <v>44750</v>
      </c>
      <c r="C10" s="23" t="str">
        <f aca="false">IF(B10&gt;0,"OK",IF(B10=0,"FLAT","LOSS"))</f>
        <v>OK</v>
      </c>
      <c r="E10" s="11" t="s">
        <v>89</v>
      </c>
      <c r="F10" s="25" t="n">
        <f aca="false">IFERROR(('1. Setup'!$B$15-'1. Setup'!$B$22-'1. Setup'!$B$30)/'1. Setup'!$B$15,0)</f>
        <v>0.335</v>
      </c>
    </row>
    <row r="11" customFormat="false" ht="15" hidden="false" customHeight="false" outlineLevel="0" collapsed="false">
      <c r="A11" s="5" t="s">
        <v>90</v>
      </c>
      <c r="B11" s="22" t="n">
        <f aca="false">'1. Setup'!$B$15-'1. Setup'!$B$22-'1. Setup'!$B$30-'1. Setup'!$B$41</f>
        <v>-135250</v>
      </c>
      <c r="C11" s="23" t="str">
        <f aca="false">IF(B11&gt;0,"OK",IF(B11=0,"FLAT","LOSS"))</f>
        <v>LOSS</v>
      </c>
      <c r="E11" s="11" t="s">
        <v>91</v>
      </c>
      <c r="F11" s="26" t="n">
        <f aca="false">IFERROR('1. Setup'!$B$15/('1. Setup'!$B$15-'1. Setup'!$B$22-'1. Setup'!$B$30),0)</f>
        <v>2.98507462686567</v>
      </c>
    </row>
    <row r="12" customFormat="false" ht="15" hidden="false" customHeight="false" outlineLevel="0" collapsed="false">
      <c r="A12" s="5" t="s">
        <v>92</v>
      </c>
      <c r="B12" s="22" t="n">
        <f aca="false">'1. Setup'!$B$15-'1. Setup'!$B$22-'1. Setup'!$B$30-'1. Setup'!$B$41-'1. Setup'!$B$45-'1. Setup'!$B$46</f>
        <v>-147250</v>
      </c>
      <c r="C12" s="23" t="str">
        <f aca="false">IF(B12&gt;0,"OK",IF(B12=0,"FLAT","LOSS"))</f>
        <v>LOSS</v>
      </c>
      <c r="E12" s="11" t="s">
        <v>93</v>
      </c>
      <c r="F12" s="26" t="n">
        <f aca="false">IFERROR('1. Setup'!$B$15/'1. Setup'!$B$34,0)</f>
        <v>3.54166666666667</v>
      </c>
    </row>
    <row r="13" customFormat="false" ht="15" hidden="false" customHeight="false" outlineLevel="0" collapsed="false">
      <c r="A13" s="5" t="s">
        <v>94</v>
      </c>
      <c r="B13" s="27" t="n">
        <f aca="false">IFERROR(('1. Setup'!$B$15-'1. Setup'!$B$22)/'1. Setup'!$B$15,0)</f>
        <v>0.48</v>
      </c>
      <c r="C13" s="23" t="str">
        <f aca="false">IF(B13&gt;0,"OK",IF(B13=0,"FLAT","LOSS"))</f>
        <v>OK</v>
      </c>
      <c r="E13" s="11" t="s">
        <v>95</v>
      </c>
      <c r="F13" s="26" t="n">
        <f aca="false">IFERROR('1. Setup'!$B$15/'1. Setup'!$B$34-'1. Setup'!$B$15/('1. Setup'!$B$15-'1. Setup'!$B$22-'1. Setup'!$B$30),0)</f>
        <v>0.556592039800995</v>
      </c>
    </row>
    <row r="14" customFormat="false" ht="15" hidden="false" customHeight="false" outlineLevel="0" collapsed="false">
      <c r="A14" s="5" t="s">
        <v>96</v>
      </c>
      <c r="B14" s="27" t="n">
        <f aca="false">IFERROR(('1. Setup'!$B$15-'1. Setup'!$B$22-'1. Setup'!$B$30-'1. Setup'!$B$41-'1. Setup'!$B$45-'1. Setup'!$B$46)/'1. Setup'!$B$15,0)</f>
        <v>-0.173235294117647</v>
      </c>
      <c r="C14" s="23" t="str">
        <f aca="false">IF(B14&gt;0,"OK",IF(B14=0,"FLAT","LOSS"))</f>
        <v>LOSS</v>
      </c>
      <c r="E14" s="11" t="s">
        <v>97</v>
      </c>
      <c r="F14" s="25" t="n">
        <f aca="false">IFERROR('1. Setup'!$B$55/('1. Setup'!$B$54+'1. Setup'!$B$55),0)</f>
        <v>0.294117647058824</v>
      </c>
    </row>
    <row r="15" customFormat="false" ht="15" hidden="false" customHeight="false" outlineLevel="0" collapsed="false">
      <c r="E15" s="11" t="s">
        <v>98</v>
      </c>
      <c r="F15" s="25" t="n">
        <f aca="false">IFERROR('1. Setup'!$B$56/'1. Setup'!$B$57,0)</f>
        <v>0.06</v>
      </c>
    </row>
    <row r="16" customFormat="false" ht="21.75" hidden="false" customHeight="true" outlineLevel="0" collapsed="false">
      <c r="A16" s="4" t="s">
        <v>99</v>
      </c>
      <c r="B16" s="4"/>
      <c r="C16" s="4"/>
      <c r="E16" s="4" t="s">
        <v>100</v>
      </c>
      <c r="F16" s="4"/>
    </row>
    <row r="17" customFormat="false" ht="15" hidden="false" customHeight="false" outlineLevel="0" collapsed="false">
      <c r="A17" s="10" t="s">
        <v>80</v>
      </c>
      <c r="B17" s="10" t="s">
        <v>57</v>
      </c>
      <c r="C17" s="10" t="s">
        <v>81</v>
      </c>
      <c r="E17" s="10" t="s">
        <v>80</v>
      </c>
      <c r="F17" s="10" t="s">
        <v>57</v>
      </c>
    </row>
    <row r="18" customFormat="false" ht="15" hidden="false" customHeight="false" outlineLevel="0" collapsed="false">
      <c r="A18" s="5" t="s">
        <v>101</v>
      </c>
      <c r="B18" s="28" t="n">
        <f aca="false">('1. Setup'!$B$15-'1. Setup'!$B$22-'1. Setup'!$B$30-'1. Setup'!$B$41-'1. Setup'!$B$45-'1. Setup'!$B$46)+'1. Setup'!$B$40</f>
        <v>-147250</v>
      </c>
      <c r="C18" s="23" t="str">
        <f aca="false">IF(ISTEXT(B18),"OK",IF(B18&gt;=0,"OK","LOSS"))</f>
        <v>LOSS</v>
      </c>
      <c r="E18" s="11" t="s">
        <v>102</v>
      </c>
      <c r="F18" s="29" t="n">
        <f aca="false">IFERROR('1. Setup'!$B$63/'1. Setup'!$B$64,0)</f>
        <v>1.89473684210526</v>
      </c>
    </row>
    <row r="19" customFormat="false" ht="15" hidden="false" customHeight="false" outlineLevel="0" collapsed="false">
      <c r="A19" s="5" t="s">
        <v>103</v>
      </c>
      <c r="B19" s="28" t="n">
        <f aca="false">'1. Setup'!$B$47+'1. Setup'!$B$48+'1. Setup'!$B$49</f>
        <v>95000</v>
      </c>
      <c r="C19" s="23" t="str">
        <f aca="false">IF(ISTEXT(B19),"OK",IF(B19&gt;=0,"OK","LOSS"))</f>
        <v>OK</v>
      </c>
      <c r="E19" s="11" t="s">
        <v>104</v>
      </c>
      <c r="F19" s="29" t="n">
        <f aca="false">IFERROR(('1. Setup'!$B$63-'1. Setup'!$B$60)/'1. Setup'!$B$64,0)</f>
        <v>1.22105263157895</v>
      </c>
    </row>
    <row r="20" customFormat="false" ht="15" hidden="false" customHeight="false" outlineLevel="0" collapsed="false">
      <c r="A20" s="5" t="s">
        <v>105</v>
      </c>
      <c r="B20" s="28" t="n">
        <f aca="false">('1. Setup'!$B$15-'1. Setup'!$B$22-'1. Setup'!$B$30-'1. Setup'!$B$41-'1. Setup'!$B$45-'1. Setup'!$B$46)+'1. Setup'!$B$40-'1. Setup'!$B$47-'1. Setup'!$B$48-'1. Setup'!$B$49</f>
        <v>-242250</v>
      </c>
      <c r="C20" s="23" t="str">
        <f aca="false">IF(ISTEXT(B20),"OK",IF(B20&gt;=0,"OK","LOSS"))</f>
        <v>LOSS</v>
      </c>
      <c r="E20" s="11" t="s">
        <v>106</v>
      </c>
      <c r="F20" s="29" t="n">
        <f aca="false">IFERROR('1. Setup'!$B$62/'1. Setup'!$B$65,0)</f>
        <v>0.5</v>
      </c>
    </row>
    <row r="21" customFormat="false" ht="15" hidden="false" customHeight="false" outlineLevel="0" collapsed="false">
      <c r="A21" s="5" t="s">
        <v>107</v>
      </c>
      <c r="B21" s="28" t="n">
        <f aca="false">MAX(0,-(('1. Setup'!$B$15-'1. Setup'!$B$22-'1. Setup'!$B$30-'1. Setup'!$B$41-'1. Setup'!$B$45-'1. Setup'!$B$46)+'1. Setup'!$B$40-'1. Setup'!$B$47-'1. Setup'!$B$48-'1. Setup'!$B$49))</f>
        <v>242250</v>
      </c>
      <c r="C21" s="23" t="str">
        <f aca="false">IF(ISTEXT(B21),"OK",IF(B21&gt;=0,"OK","LOSS"))</f>
        <v>OK</v>
      </c>
      <c r="E21" s="11" t="s">
        <v>108</v>
      </c>
      <c r="F21" s="26" t="n">
        <f aca="false">IFERROR(('1. Setup'!$B$15-'1. Setup'!$B$22-'1. Setup'!$B$30-'1. Setup'!$B$41)/'1. Setup'!$B$45,0)</f>
        <v>-11.2708333333333</v>
      </c>
    </row>
    <row r="22" customFormat="false" ht="15" hidden="false" customHeight="false" outlineLevel="0" collapsed="false">
      <c r="A22" s="5" t="s">
        <v>109</v>
      </c>
      <c r="B22" s="30" t="n">
        <f aca="false">IF(MAX(0,-(('1. Setup'!$B$15-'1. Setup'!$B$22-'1. Setup'!$B$30-'1. Setup'!$B$41-'1. Setup'!$B$45-'1. Setup'!$B$46)+'1. Setup'!$B$40-'1. Setup'!$B$47-'1. Setup'!$B$48-'1. Setup'!$B$49))=0,"cash positive",'1. Setup'!$B$58/MAX(1,-(('1. Setup'!$B$15-'1. Setup'!$B$22-'1. Setup'!$B$30-'1. Setup'!$B$41-'1. Setup'!$B$45-'1. Setup'!$B$46)+'1. Setup'!$B$40-'1. Setup'!$B$47-'1. Setup'!$B$48-'1. Setup'!$B$49)))</f>
        <v>3.50877192982456</v>
      </c>
      <c r="C22" s="23" t="str">
        <f aca="false">IF(ISTEXT(B22),"OK",IF(B22&gt;=0,"OK","LOSS"))</f>
        <v>OK</v>
      </c>
      <c r="E22" s="11" t="s">
        <v>110</v>
      </c>
      <c r="F22" s="30" t="n">
        <f aca="false">IFERROR('1. Setup'!$B$60/'1. Setup'!$B$22*'1. Setup'!$B$66,0)</f>
        <v>43.4389140271493</v>
      </c>
    </row>
    <row r="23" customFormat="false" ht="15" hidden="false" customHeight="false" outlineLevel="0" collapsed="false">
      <c r="E23" s="11" t="s">
        <v>111</v>
      </c>
      <c r="F23" s="30" t="n">
        <f aca="false">IFERROR('1. Setup'!$B$59/'1. Setup'!$B$15*'1. Setup'!$B$66,0)</f>
        <v>10.9411764705882</v>
      </c>
    </row>
    <row r="24" customFormat="false" ht="15" hidden="false" customHeight="false" outlineLevel="0" collapsed="false">
      <c r="E24" s="11" t="s">
        <v>112</v>
      </c>
      <c r="F24" s="30" t="n">
        <f aca="false">IFERROR('1. Setup'!$B$61/'1. Setup'!$B$22*'1. Setup'!$B$66,0)</f>
        <v>14.9321266968326</v>
      </c>
    </row>
    <row r="25" customFormat="false" ht="15" hidden="false" customHeight="false" outlineLevel="0" collapsed="false">
      <c r="E25" s="11" t="s">
        <v>113</v>
      </c>
      <c r="F25" s="30" t="n">
        <f aca="false">IFERROR('1. Setup'!$B$60/'1. Setup'!$B$22*'1. Setup'!$B$66+'1. Setup'!$B$59/'1. Setup'!$B$15*'1. Setup'!$B$66-'1. Setup'!$B$61/'1. Setup'!$B$22*'1. Setup'!$B$66,0)</f>
        <v>39.447963800905</v>
      </c>
    </row>
    <row r="27" customFormat="false" ht="21.75" hidden="false" customHeight="true" outlineLevel="0" collapsed="false">
      <c r="A27" s="4" t="s">
        <v>114</v>
      </c>
      <c r="B27" s="4"/>
      <c r="C27" s="4"/>
      <c r="D27" s="4"/>
      <c r="E27" s="4"/>
      <c r="F27" s="4"/>
      <c r="G27" s="4"/>
      <c r="H27" s="4"/>
    </row>
    <row r="28" customFormat="false" ht="15" hidden="false" customHeight="false" outlineLevel="0" collapsed="false">
      <c r="A28" s="5" t="s">
        <v>115</v>
      </c>
      <c r="B28" s="28" t="n">
        <f aca="false">'1. Setup'!$B$41-'1. Setup'!$B$34</f>
        <v>180000</v>
      </c>
    </row>
    <row r="29" customFormat="false" ht="15" hidden="false" customHeight="false" outlineLevel="0" collapsed="false">
      <c r="A29" s="5" t="s">
        <v>89</v>
      </c>
      <c r="B29" s="25" t="n">
        <f aca="false">IFERROR(('1. Setup'!$B$15-'1. Setup'!$B$22-'1. Setup'!$B$30)/'1. Setup'!$B$15,0)</f>
        <v>0.335</v>
      </c>
    </row>
    <row r="30" customFormat="false" ht="15" hidden="false" customHeight="false" outlineLevel="0" collapsed="false">
      <c r="A30" s="5" t="s">
        <v>116</v>
      </c>
      <c r="B30" s="28" t="n">
        <f aca="false">IFERROR(B28/B29,0)</f>
        <v>537313.432835821</v>
      </c>
    </row>
    <row r="31" customFormat="false" ht="15" hidden="false" customHeight="false" outlineLevel="0" collapsed="false">
      <c r="A31" s="5" t="s">
        <v>117</v>
      </c>
      <c r="B31" s="31" t="n">
        <f aca="false">IFERROR(B30/IFERROR('1. Setup'!$B$15/'1. Setup'!$B$53,1),0)</f>
        <v>1074.62686567164</v>
      </c>
    </row>
    <row r="32" customFormat="false" ht="15" hidden="false" customHeight="false" outlineLevel="0" collapsed="false">
      <c r="A32" s="5" t="s">
        <v>118</v>
      </c>
      <c r="B32" s="25" t="n">
        <f aca="false">IFERROR(('1. Setup'!$B$15-B30)/'1. Setup'!$B$15,0)</f>
        <v>0.367866549604917</v>
      </c>
    </row>
    <row r="34" customFormat="false" ht="21.75" hidden="false" customHeight="true" outlineLevel="0" collapsed="false">
      <c r="A34" s="4" t="s">
        <v>119</v>
      </c>
      <c r="B34" s="4"/>
      <c r="C34" s="4"/>
      <c r="D34" s="4"/>
      <c r="E34" s="4"/>
      <c r="F34" s="4"/>
      <c r="G34" s="4"/>
      <c r="H34" s="4"/>
    </row>
    <row r="35" customFormat="false" ht="33.75" hidden="false" customHeight="true" outlineLevel="0" collapsed="false">
      <c r="A35" s="32" t="str">
        <f aca="false">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NET LOSS FROM OVERHEAD — each order is profitable after ads, but fixed costs, interest, or tax exceed that contribution. Fix overhead, not the product.</v>
      </c>
      <c r="B35" s="32"/>
      <c r="C35" s="32"/>
      <c r="D35" s="32"/>
      <c r="E35" s="32"/>
      <c r="F35" s="32"/>
      <c r="G35" s="32"/>
      <c r="H35" s="32"/>
    </row>
    <row r="56" customFormat="false" ht="19.5" hidden="false" customHeight="true" outlineLevel="0" collapsed="false">
      <c r="A56" s="19" t="s">
        <v>75</v>
      </c>
      <c r="B56" s="19"/>
      <c r="C56" s="19"/>
      <c r="D56" s="19"/>
      <c r="E56" s="19"/>
      <c r="F56" s="19"/>
      <c r="G56" s="19"/>
      <c r="H56" s="19"/>
    </row>
  </sheetData>
  <mergeCells count="10">
    <mergeCell ref="A1:H1"/>
    <mergeCell ref="A2:H2"/>
    <mergeCell ref="A5:C5"/>
    <mergeCell ref="E5:H5"/>
    <mergeCell ref="A16:C16"/>
    <mergeCell ref="E16:F16"/>
    <mergeCell ref="A27:H27"/>
    <mergeCell ref="A34:H34"/>
    <mergeCell ref="A35:H35"/>
    <mergeCell ref="A56:H56"/>
  </mergeCells>
  <conditionalFormatting sqref="C7:C14">
    <cfRule type="cellIs" priority="2" operator="equal" aboveAverage="0" equalAverage="0" bottom="0" percent="0" rank="0" text="" dxfId="0">
      <formula>"LOSS"</formula>
    </cfRule>
    <cfRule type="cellIs" priority="3" operator="equal" aboveAverage="0" equalAverage="0" bottom="0" percent="0" rank="0" text="" dxfId="1">
      <formula>"OK"</formula>
    </cfRule>
  </conditionalFormatting>
  <conditionalFormatting sqref="C18:C22">
    <cfRule type="cellIs" priority="4" operator="equal" aboveAverage="0" equalAverage="0" bottom="0" percent="0" rank="0" text="" dxfId="0">
      <formula>"LOSS"</formula>
    </cfRule>
    <cfRule type="cellIs" priority="5" operator="equal" aboveAverage="0" equalAverage="0" bottom="0" percent="0" rank="0" text="" dxfId="1">
      <formula>"OK"</formula>
    </cfRule>
  </conditionalFormatting>
  <printOptions headings="false" gridLines="false" gridLinesSet="true" horizontalCentered="false" verticalCentered="false"/>
  <pageMargins left="0.2" right="0.2" top="0.2" bottom="0.2"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6" min="3" style="1" width="18"/>
  </cols>
  <sheetData>
    <row r="1" customFormat="false" ht="30" hidden="false" customHeight="true" outlineLevel="0" collapsed="false">
      <c r="A1" s="2" t="s">
        <v>120</v>
      </c>
      <c r="B1" s="2"/>
      <c r="C1" s="2"/>
      <c r="D1" s="2"/>
      <c r="E1" s="2"/>
      <c r="F1" s="2"/>
    </row>
    <row r="2" customFormat="false" ht="18" hidden="false" customHeight="true" outlineLevel="0" collapsed="false">
      <c r="A2" s="3" t="s">
        <v>121</v>
      </c>
      <c r="B2" s="3"/>
      <c r="C2" s="3"/>
      <c r="D2" s="3"/>
      <c r="E2" s="3"/>
      <c r="F2" s="3"/>
    </row>
    <row r="4" customFormat="false" ht="21.75" hidden="false" customHeight="true" outlineLevel="0" collapsed="false">
      <c r="A4" s="4" t="s">
        <v>122</v>
      </c>
      <c r="B4" s="4"/>
      <c r="C4" s="4"/>
      <c r="D4" s="4"/>
      <c r="E4" s="4"/>
      <c r="F4" s="4"/>
    </row>
    <row r="5" customFormat="false" ht="15" hidden="false" customHeight="false" outlineLevel="0" collapsed="false">
      <c r="A5" s="10" t="s">
        <v>123</v>
      </c>
      <c r="B5" s="10" t="s">
        <v>124</v>
      </c>
      <c r="C5" s="10" t="s">
        <v>125</v>
      </c>
      <c r="D5" s="10" t="s">
        <v>126</v>
      </c>
    </row>
    <row r="6" customFormat="false" ht="15" hidden="false" customHeight="false" outlineLevel="0" collapsed="false">
      <c r="A6" s="5" t="s">
        <v>127</v>
      </c>
      <c r="B6" s="33" t="n">
        <v>-0.25</v>
      </c>
      <c r="C6" s="33" t="n">
        <v>0</v>
      </c>
      <c r="D6" s="33" t="n">
        <v>0.25</v>
      </c>
    </row>
    <row r="7" customFormat="false" ht="15" hidden="false" customHeight="false" outlineLevel="0" collapsed="false">
      <c r="A7" s="5" t="s">
        <v>128</v>
      </c>
      <c r="B7" s="33" t="n">
        <v>0.04</v>
      </c>
      <c r="C7" s="33" t="n">
        <v>0</v>
      </c>
      <c r="D7" s="33" t="n">
        <v>-0.02</v>
      </c>
    </row>
    <row r="8" customFormat="false" ht="15" hidden="false" customHeight="false" outlineLevel="0" collapsed="false">
      <c r="A8" s="5" t="s">
        <v>129</v>
      </c>
      <c r="B8" s="33" t="n">
        <v>0.1</v>
      </c>
      <c r="C8" s="33" t="n">
        <v>0</v>
      </c>
      <c r="D8" s="33" t="n">
        <v>0.2</v>
      </c>
    </row>
    <row r="9" customFormat="false" ht="15" hidden="false" customHeight="false" outlineLevel="0" collapsed="false">
      <c r="A9" s="5" t="s">
        <v>130</v>
      </c>
      <c r="B9" s="33" t="n">
        <v>0.05</v>
      </c>
      <c r="C9" s="33" t="n">
        <v>0</v>
      </c>
      <c r="D9" s="33" t="n">
        <v>0</v>
      </c>
    </row>
    <row r="11" customFormat="false" ht="21.75" hidden="false" customHeight="true" outlineLevel="0" collapsed="false">
      <c r="A11" s="4" t="s">
        <v>131</v>
      </c>
      <c r="B11" s="4"/>
      <c r="C11" s="4"/>
      <c r="D11" s="4"/>
      <c r="E11" s="4"/>
      <c r="F11" s="4"/>
    </row>
    <row r="12" customFormat="false" ht="15" hidden="false" customHeight="false" outlineLevel="0" collapsed="false">
      <c r="A12" s="10" t="s">
        <v>132</v>
      </c>
      <c r="B12" s="10" t="s">
        <v>124</v>
      </c>
      <c r="C12" s="10" t="s">
        <v>125</v>
      </c>
      <c r="D12" s="10" t="s">
        <v>126</v>
      </c>
    </row>
    <row r="13" customFormat="false" ht="15" hidden="false" customHeight="false" outlineLevel="0" collapsed="false">
      <c r="A13" s="5" t="s">
        <v>82</v>
      </c>
      <c r="B13" s="34" t="n">
        <f aca="false">'1. Setup'!$B$15*(1+B6)</f>
        <v>637500</v>
      </c>
      <c r="C13" s="34" t="n">
        <f aca="false">'1. Setup'!$B$15*(1+C6)</f>
        <v>850000</v>
      </c>
      <c r="D13" s="34" t="n">
        <f aca="false">'1. Setup'!$B$15*(1+D6)</f>
        <v>1062500</v>
      </c>
    </row>
    <row r="14" customFormat="false" ht="15" hidden="false" customHeight="false" outlineLevel="0" collapsed="false">
      <c r="A14" s="5" t="s">
        <v>133</v>
      </c>
      <c r="B14" s="34" t="n">
        <f aca="false">'1. Setup'!$B$22*(1+B6)*(1+B7)</f>
        <v>344760</v>
      </c>
      <c r="C14" s="34" t="n">
        <f aca="false">'1. Setup'!$B$22*(1+C6)*(1+C7)</f>
        <v>442000</v>
      </c>
      <c r="D14" s="34" t="n">
        <f aca="false">'1. Setup'!$B$22*(1+D6)*(1+D7)</f>
        <v>541450</v>
      </c>
    </row>
    <row r="15" customFormat="false" ht="15" hidden="false" customHeight="false" outlineLevel="0" collapsed="false">
      <c r="A15" s="5" t="s">
        <v>134</v>
      </c>
      <c r="B15" s="34" t="n">
        <f aca="false">'1. Setup'!$B$30*(1+B6)</f>
        <v>92437.5</v>
      </c>
      <c r="C15" s="34" t="n">
        <f aca="false">'1. Setup'!$B$30*(1+C6)</f>
        <v>123250</v>
      </c>
      <c r="D15" s="34" t="n">
        <f aca="false">'1. Setup'!$B$30*(1+D6)</f>
        <v>154062.5</v>
      </c>
    </row>
    <row r="16" customFormat="false" ht="15" hidden="false" customHeight="false" outlineLevel="0" collapsed="false">
      <c r="A16" s="5" t="s">
        <v>135</v>
      </c>
      <c r="B16" s="34" t="n">
        <f aca="false">'1. Setup'!$B$34*(1+B8)</f>
        <v>264000</v>
      </c>
      <c r="C16" s="34" t="n">
        <f aca="false">'1. Setup'!$B$34*(1+C8)</f>
        <v>240000</v>
      </c>
      <c r="D16" s="34" t="n">
        <f aca="false">'1. Setup'!$B$34*(1+D8)</f>
        <v>288000</v>
      </c>
    </row>
    <row r="17" customFormat="false" ht="15" hidden="false" customHeight="false" outlineLevel="0" collapsed="false">
      <c r="A17" s="5" t="s">
        <v>136</v>
      </c>
      <c r="B17" s="34" t="n">
        <f aca="false">('1. Setup'!$B$41-'1. Setup'!$B$34)*(1+B9)</f>
        <v>189000</v>
      </c>
      <c r="C17" s="34" t="n">
        <f aca="false">('1. Setup'!$B$41-'1. Setup'!$B$34)*(1+C9)</f>
        <v>180000</v>
      </c>
      <c r="D17" s="34" t="n">
        <f aca="false">('1. Setup'!$B$41-'1. Setup'!$B$34)*(1+D9)</f>
        <v>180000</v>
      </c>
    </row>
    <row r="18" customFormat="false" ht="15" hidden="false" customHeight="false" outlineLevel="0" collapsed="false">
      <c r="A18" s="5" t="s">
        <v>84</v>
      </c>
      <c r="B18" s="28" t="n">
        <f aca="false">B13-B14</f>
        <v>292740</v>
      </c>
      <c r="C18" s="28" t="n">
        <f aca="false">C13-C14</f>
        <v>408000</v>
      </c>
      <c r="D18" s="28" t="n">
        <f aca="false">D13-D14</f>
        <v>521050</v>
      </c>
    </row>
    <row r="19" customFormat="false" ht="15" hidden="false" customHeight="false" outlineLevel="0" collapsed="false">
      <c r="A19" s="5" t="s">
        <v>137</v>
      </c>
      <c r="B19" s="34" t="n">
        <f aca="false">B13-B14-B15-B16</f>
        <v>-63697.5</v>
      </c>
      <c r="C19" s="34" t="n">
        <f aca="false">C13-C14-C15-C16</f>
        <v>44750</v>
      </c>
      <c r="D19" s="34" t="n">
        <f aca="false">D13-D14-D15-D16</f>
        <v>78987.5</v>
      </c>
    </row>
    <row r="20" customFormat="false" ht="15" hidden="false" customHeight="false" outlineLevel="0" collapsed="false">
      <c r="A20" s="5" t="s">
        <v>90</v>
      </c>
      <c r="B20" s="28" t="n">
        <f aca="false">B19-B17</f>
        <v>-252697.5</v>
      </c>
      <c r="C20" s="28" t="n">
        <f aca="false">C19-C17</f>
        <v>-135250</v>
      </c>
      <c r="D20" s="28" t="n">
        <f aca="false">D19-D17</f>
        <v>-101012.5</v>
      </c>
    </row>
    <row r="21" customFormat="false" ht="15" hidden="false" customHeight="false" outlineLevel="0" collapsed="false">
      <c r="A21" s="5" t="s">
        <v>138</v>
      </c>
      <c r="B21" s="35" t="n">
        <f aca="false">IFERROR(B20/B13,0)</f>
        <v>-0.396388235294118</v>
      </c>
      <c r="C21" s="35" t="n">
        <f aca="false">IFERROR(C20/C13,0)</f>
        <v>-0.159117647058824</v>
      </c>
      <c r="D21" s="35" t="n">
        <f aca="false">IFERROR(D20/D13,0)</f>
        <v>-0.0950705882352941</v>
      </c>
    </row>
    <row r="22" customFormat="false" ht="15" hidden="false" customHeight="false" outlineLevel="0" collapsed="false">
      <c r="A22" s="5" t="s">
        <v>139</v>
      </c>
      <c r="B22" s="36" t="str">
        <f aca="false">IF(B20&gt;0,"PROFIT","LOSS")</f>
        <v>LOSS</v>
      </c>
      <c r="C22" s="36" t="str">
        <f aca="false">IF(C20&gt;0,"PROFIT","LOSS")</f>
        <v>LOSS</v>
      </c>
      <c r="D22" s="36" t="str">
        <f aca="false">IF(D20&gt;0,"PROFIT","LOSS")</f>
        <v>LOSS</v>
      </c>
    </row>
    <row r="24" customFormat="false" ht="21.75" hidden="false" customHeight="true" outlineLevel="0" collapsed="false">
      <c r="A24" s="4" t="s">
        <v>140</v>
      </c>
      <c r="B24" s="4"/>
      <c r="C24" s="4"/>
      <c r="D24" s="4"/>
      <c r="E24" s="4"/>
      <c r="F24" s="4"/>
    </row>
    <row r="25" customFormat="false" ht="15" hidden="false" customHeight="false" outlineLevel="0" collapsed="false">
      <c r="A25" s="10" t="s">
        <v>141</v>
      </c>
      <c r="B25" s="10" t="s">
        <v>142</v>
      </c>
      <c r="C25" s="10"/>
    </row>
    <row r="26" customFormat="false" ht="15" hidden="false" customHeight="false" outlineLevel="0" collapsed="false">
      <c r="A26" s="37" t="n">
        <v>0.05</v>
      </c>
      <c r="B26" s="38" t="n">
        <f aca="false">IFERROR(0.05/(IFERROR(('1. Setup'!$B$15-'1. Setup'!$B$22-'1. Setup'!$B$30)/'1. Setup'!$B$15,0.3)+0.05),0)</f>
        <v>0.12987012987013</v>
      </c>
      <c r="C26" s="38"/>
    </row>
    <row r="27" customFormat="false" ht="15" hidden="false" customHeight="false" outlineLevel="0" collapsed="false">
      <c r="A27" s="37" t="n">
        <v>0.1</v>
      </c>
      <c r="B27" s="38" t="n">
        <f aca="false">IFERROR(0.1/(IFERROR(('1. Setup'!$B$15-'1. Setup'!$B$22-'1. Setup'!$B$30)/'1. Setup'!$B$15,0.3)+0.1),0)</f>
        <v>0.229885057471264</v>
      </c>
      <c r="C27" s="38"/>
    </row>
    <row r="28" customFormat="false" ht="15" hidden="false" customHeight="false" outlineLevel="0" collapsed="false">
      <c r="A28" s="37" t="n">
        <v>0.15</v>
      </c>
      <c r="B28" s="38" t="n">
        <f aca="false">IFERROR(0.15/(IFERROR(('1. Setup'!$B$15-'1. Setup'!$B$22-'1. Setup'!$B$30)/'1. Setup'!$B$15,0.3)+0.15),0)</f>
        <v>0.309278350515464</v>
      </c>
      <c r="C28" s="38"/>
    </row>
    <row r="29" customFormat="false" ht="15" hidden="false" customHeight="false" outlineLevel="0" collapsed="false">
      <c r="A29" s="37" t="n">
        <v>0.2</v>
      </c>
      <c r="B29" s="38" t="n">
        <f aca="false">IFERROR(0.2/(IFERROR(('1. Setup'!$B$15-'1. Setup'!$B$22-'1. Setup'!$B$30)/'1. Setup'!$B$15,0.3)+0.2),0)</f>
        <v>0.373831775700935</v>
      </c>
      <c r="C29" s="38"/>
    </row>
    <row r="31" customFormat="false" ht="19.5" hidden="false" customHeight="true" outlineLevel="0" collapsed="false">
      <c r="A31" s="19" t="s">
        <v>75</v>
      </c>
      <c r="B31" s="19"/>
      <c r="C31" s="19"/>
      <c r="D31" s="19"/>
      <c r="E31" s="19"/>
      <c r="F31" s="19"/>
    </row>
  </sheetData>
  <mergeCells count="11">
    <mergeCell ref="A1:F1"/>
    <mergeCell ref="A2:F2"/>
    <mergeCell ref="A4:F4"/>
    <mergeCell ref="A11:F11"/>
    <mergeCell ref="A24:F24"/>
    <mergeCell ref="B25:C25"/>
    <mergeCell ref="B26:C26"/>
    <mergeCell ref="B27:C27"/>
    <mergeCell ref="B28:C28"/>
    <mergeCell ref="B29:C29"/>
    <mergeCell ref="A31:F31"/>
  </mergeCells>
  <conditionalFormatting sqref="B22:D22">
    <cfRule type="cellIs" priority="2" operator="equal" aboveAverage="0" equalAverage="0" bottom="0" percent="0" rank="0" text="" dxfId="0">
      <formula>"LOSS"</formula>
    </cfRule>
    <cfRule type="cellIs" priority="3" operator="equal" aboveAverage="0" equalAverage="0" bottom="0" percent="0" rank="0" text="" dxfId="1">
      <formula>"PROFIT"</formula>
    </cfRule>
  </conditionalFormatting>
  <printOptions headings="false" gridLines="false" gridLinesSet="true" horizontalCentered="false" verticalCentered="false"/>
  <pageMargins left="0.2" right="0.2" top="0.2" bottom="0.2"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10"/>
    <col collapsed="false" customWidth="true" hidden="false" outlineLevel="0" max="3" min="3" style="1" width="26"/>
    <col collapsed="false" customWidth="true" hidden="false" outlineLevel="0" max="4" min="4" style="1" width="10"/>
  </cols>
  <sheetData>
    <row r="1" customFormat="false" ht="15" hidden="false" customHeight="false" outlineLevel="0" collapsed="false">
      <c r="A1" s="10" t="s">
        <v>143</v>
      </c>
      <c r="B1" s="10" t="s">
        <v>144</v>
      </c>
      <c r="C1" s="10" t="s">
        <v>145</v>
      </c>
      <c r="D1" s="10" t="s">
        <v>146</v>
      </c>
    </row>
    <row r="2" customFormat="false" ht="15" hidden="false" customHeight="false" outlineLevel="0" collapsed="false">
      <c r="A2" s="39" t="s">
        <v>4</v>
      </c>
      <c r="B2" s="39" t="s">
        <v>147</v>
      </c>
      <c r="C2" s="39" t="s">
        <v>148</v>
      </c>
      <c r="D2" s="39" t="n">
        <v>2</v>
      </c>
    </row>
    <row r="3" customFormat="false" ht="15" hidden="false" customHeight="false" outlineLevel="0" collapsed="false">
      <c r="A3" s="39" t="s">
        <v>149</v>
      </c>
      <c r="B3" s="39" t="s">
        <v>150</v>
      </c>
      <c r="C3" s="39" t="s">
        <v>151</v>
      </c>
      <c r="D3" s="39" t="n">
        <v>2</v>
      </c>
    </row>
    <row r="4" customFormat="false" ht="15" hidden="false" customHeight="false" outlineLevel="0" collapsed="false">
      <c r="A4" s="39" t="s">
        <v>152</v>
      </c>
      <c r="B4" s="39" t="s">
        <v>153</v>
      </c>
      <c r="C4" s="39" t="s">
        <v>154</v>
      </c>
      <c r="D4" s="39" t="n">
        <v>2</v>
      </c>
    </row>
    <row r="5" customFormat="false" ht="15" hidden="false" customHeight="false" outlineLevel="0" collapsed="false">
      <c r="A5" s="39" t="s">
        <v>155</v>
      </c>
      <c r="B5" s="39" t="s">
        <v>156</v>
      </c>
      <c r="C5" s="39" t="s">
        <v>157</v>
      </c>
      <c r="D5" s="39" t="n">
        <v>2</v>
      </c>
    </row>
    <row r="6" customFormat="false" ht="15" hidden="false" customHeight="false" outlineLevel="0" collapsed="false">
      <c r="A6" s="39" t="s">
        <v>158</v>
      </c>
      <c r="B6" s="39" t="s">
        <v>159</v>
      </c>
      <c r="C6" s="39" t="s">
        <v>160</v>
      </c>
      <c r="D6" s="39" t="n">
        <v>2</v>
      </c>
    </row>
    <row r="7" customFormat="false" ht="15" hidden="false" customHeight="false" outlineLevel="0" collapsed="false">
      <c r="A7" s="39" t="s">
        <v>161</v>
      </c>
      <c r="B7" s="39" t="s">
        <v>162</v>
      </c>
      <c r="C7" s="39" t="s">
        <v>163</v>
      </c>
      <c r="D7" s="39" t="n">
        <v>2</v>
      </c>
    </row>
    <row r="8" customFormat="false" ht="15" hidden="false" customHeight="false" outlineLevel="0" collapsed="false">
      <c r="A8" s="39" t="s">
        <v>164</v>
      </c>
      <c r="B8" s="39" t="s">
        <v>165</v>
      </c>
      <c r="C8" s="39" t="s">
        <v>166</v>
      </c>
      <c r="D8" s="39" t="n">
        <v>2</v>
      </c>
    </row>
    <row r="9" customFormat="false" ht="15" hidden="false" customHeight="false" outlineLevel="0" collapsed="false">
      <c r="A9" s="39" t="s">
        <v>167</v>
      </c>
      <c r="B9" s="39" t="s">
        <v>168</v>
      </c>
      <c r="C9" s="39" t="s">
        <v>169</v>
      </c>
      <c r="D9" s="39" t="n">
        <v>2</v>
      </c>
    </row>
    <row r="10" customFormat="false" ht="15" hidden="false" customHeight="false" outlineLevel="0" collapsed="false">
      <c r="A10" s="39" t="s">
        <v>170</v>
      </c>
      <c r="B10" s="39" t="s">
        <v>171</v>
      </c>
      <c r="C10" s="39" t="s">
        <v>172</v>
      </c>
      <c r="D10" s="39" t="n">
        <v>2</v>
      </c>
    </row>
    <row r="11" customFormat="false" ht="15" hidden="false" customHeight="false" outlineLevel="0" collapsed="false">
      <c r="A11" s="39" t="s">
        <v>173</v>
      </c>
      <c r="B11" s="39" t="s">
        <v>174</v>
      </c>
      <c r="C11" s="39" t="s">
        <v>175</v>
      </c>
      <c r="D11" s="39" t="n">
        <v>2</v>
      </c>
    </row>
    <row r="12" customFormat="false" ht="15" hidden="false" customHeight="false" outlineLevel="0" collapsed="false">
      <c r="A12" s="39" t="s">
        <v>176</v>
      </c>
      <c r="B12" s="39" t="s">
        <v>177</v>
      </c>
      <c r="C12" s="39" t="s">
        <v>178</v>
      </c>
      <c r="D12" s="39" t="n">
        <v>2</v>
      </c>
    </row>
    <row r="13" customFormat="false" ht="15" hidden="false" customHeight="false" outlineLevel="0" collapsed="false">
      <c r="A13" s="39" t="s">
        <v>179</v>
      </c>
      <c r="B13" s="39" t="s">
        <v>180</v>
      </c>
      <c r="C13" s="39" t="s">
        <v>181</v>
      </c>
      <c r="D13" s="39" t="n">
        <v>2</v>
      </c>
    </row>
    <row r="14" customFormat="false" ht="15" hidden="false" customHeight="false" outlineLevel="0" collapsed="false">
      <c r="A14" s="39" t="s">
        <v>182</v>
      </c>
      <c r="B14" s="39" t="s">
        <v>183</v>
      </c>
      <c r="C14" s="39" t="s">
        <v>184</v>
      </c>
      <c r="D14" s="39" t="n">
        <v>2</v>
      </c>
    </row>
    <row r="15" customFormat="false" ht="15" hidden="false" customHeight="false" outlineLevel="0" collapsed="false">
      <c r="A15" s="39" t="s">
        <v>185</v>
      </c>
      <c r="B15" s="39" t="s">
        <v>186</v>
      </c>
      <c r="C15" s="39" t="s">
        <v>187</v>
      </c>
      <c r="D15" s="39" t="n">
        <v>3</v>
      </c>
    </row>
    <row r="16" customFormat="false" ht="15" hidden="false" customHeight="false" outlineLevel="0" collapsed="false">
      <c r="A16" s="39" t="s">
        <v>188</v>
      </c>
      <c r="B16" s="39" t="s">
        <v>189</v>
      </c>
      <c r="C16" s="39" t="s">
        <v>190</v>
      </c>
      <c r="D16" s="39" t="n">
        <v>3</v>
      </c>
    </row>
    <row r="17" customFormat="false" ht="15" hidden="false" customHeight="false" outlineLevel="0" collapsed="false">
      <c r="A17" s="39" t="s">
        <v>191</v>
      </c>
      <c r="B17" s="39" t="s">
        <v>192</v>
      </c>
      <c r="C17" s="39" t="s">
        <v>193</v>
      </c>
      <c r="D17" s="39" t="n">
        <v>3</v>
      </c>
    </row>
    <row r="18" customFormat="false" ht="15" hidden="false" customHeight="false" outlineLevel="0" collapsed="false">
      <c r="A18" s="39" t="s">
        <v>194</v>
      </c>
      <c r="B18" s="39" t="s">
        <v>195</v>
      </c>
      <c r="C18" s="39" t="s">
        <v>196</v>
      </c>
      <c r="D18" s="39" t="n">
        <v>2</v>
      </c>
    </row>
    <row r="19" customFormat="false" ht="15" hidden="false" customHeight="false" outlineLevel="0" collapsed="false">
      <c r="A19" s="39" t="s">
        <v>197</v>
      </c>
      <c r="B19" s="39" t="s">
        <v>198</v>
      </c>
      <c r="C19" s="39" t="s">
        <v>199</v>
      </c>
      <c r="D19" s="39" t="n">
        <v>2</v>
      </c>
    </row>
    <row r="20" customFormat="false" ht="15" hidden="false" customHeight="false" outlineLevel="0" collapsed="false">
      <c r="A20" s="39" t="s">
        <v>200</v>
      </c>
      <c r="B20" s="39" t="s">
        <v>201</v>
      </c>
      <c r="C20" s="39" t="s">
        <v>202</v>
      </c>
      <c r="D20" s="39" t="n">
        <v>2</v>
      </c>
    </row>
    <row r="21" customFormat="false" ht="15" hidden="false" customHeight="false" outlineLevel="0" collapsed="false">
      <c r="A21" s="39" t="s">
        <v>203</v>
      </c>
      <c r="B21" s="39" t="s">
        <v>204</v>
      </c>
      <c r="C21" s="39" t="s">
        <v>205</v>
      </c>
      <c r="D21" s="39" t="n">
        <v>0</v>
      </c>
    </row>
    <row r="22" customFormat="false" ht="15" hidden="false" customHeight="false" outlineLevel="0" collapsed="false">
      <c r="A22" s="39" t="s">
        <v>206</v>
      </c>
      <c r="B22" s="39" t="s">
        <v>207</v>
      </c>
      <c r="C22" s="39" t="s">
        <v>208</v>
      </c>
      <c r="D22" s="39" t="n">
        <v>0</v>
      </c>
    </row>
    <row r="23" customFormat="false" ht="15" hidden="false" customHeight="false" outlineLevel="0" collapsed="false">
      <c r="A23" s="39" t="s">
        <v>209</v>
      </c>
      <c r="B23" s="39" t="s">
        <v>210</v>
      </c>
      <c r="C23" s="39" t="s">
        <v>211</v>
      </c>
      <c r="D23" s="39" t="n">
        <v>2</v>
      </c>
    </row>
    <row r="24" customFormat="false" ht="15" hidden="false" customHeight="false" outlineLevel="0" collapsed="false">
      <c r="A24" s="39" t="s">
        <v>212</v>
      </c>
      <c r="B24" s="39" t="s">
        <v>213</v>
      </c>
      <c r="C24" s="39" t="s">
        <v>214</v>
      </c>
      <c r="D24" s="39" t="n">
        <v>2</v>
      </c>
    </row>
    <row r="25" customFormat="false" ht="15" hidden="false" customHeight="false" outlineLevel="0" collapsed="false">
      <c r="A25" s="39" t="s">
        <v>215</v>
      </c>
      <c r="B25" s="39" t="s">
        <v>216</v>
      </c>
      <c r="C25" s="39" t="s">
        <v>217</v>
      </c>
      <c r="D25" s="39" t="n">
        <v>0</v>
      </c>
    </row>
    <row r="26" customFormat="false" ht="15" hidden="false" customHeight="false" outlineLevel="0" collapsed="false">
      <c r="A26" s="39" t="s">
        <v>218</v>
      </c>
      <c r="B26" s="39" t="s">
        <v>219</v>
      </c>
      <c r="C26" s="39" t="s">
        <v>220</v>
      </c>
      <c r="D26" s="39" t="n">
        <v>0</v>
      </c>
    </row>
    <row r="27" customFormat="false" ht="15" hidden="false" customHeight="false" outlineLevel="0" collapsed="false">
      <c r="A27" s="39" t="s">
        <v>221</v>
      </c>
      <c r="B27" s="39" t="s">
        <v>222</v>
      </c>
      <c r="C27" s="39" t="s">
        <v>223</v>
      </c>
      <c r="D27" s="39" t="n">
        <v>2</v>
      </c>
    </row>
    <row r="28" customFormat="false" ht="15" hidden="false" customHeight="false" outlineLevel="0" collapsed="false">
      <c r="A28" s="39" t="s">
        <v>224</v>
      </c>
      <c r="B28" s="39" t="s">
        <v>225</v>
      </c>
      <c r="C28" s="39" t="s">
        <v>226</v>
      </c>
      <c r="D28" s="39" t="n">
        <v>2</v>
      </c>
    </row>
    <row r="29" customFormat="false" ht="15" hidden="false" customHeight="false" outlineLevel="0" collapsed="false">
      <c r="A29" s="39" t="s">
        <v>227</v>
      </c>
      <c r="B29" s="39" t="s">
        <v>228</v>
      </c>
      <c r="C29" s="39" t="s">
        <v>229</v>
      </c>
      <c r="D29" s="39" t="n">
        <v>2</v>
      </c>
    </row>
    <row r="30" customFormat="false" ht="15" hidden="false" customHeight="false" outlineLevel="0" collapsed="false">
      <c r="A30" s="39" t="s">
        <v>230</v>
      </c>
      <c r="B30" s="39" t="s">
        <v>231</v>
      </c>
      <c r="C30" s="39" t="s">
        <v>232</v>
      </c>
      <c r="D30" s="39" t="n">
        <v>2</v>
      </c>
    </row>
    <row r="31" customFormat="false" ht="15" hidden="false" customHeight="false" outlineLevel="0" collapsed="false">
      <c r="A31" s="39" t="s">
        <v>233</v>
      </c>
      <c r="B31" s="39" t="s">
        <v>234</v>
      </c>
      <c r="C31" s="39" t="s">
        <v>235</v>
      </c>
      <c r="D31" s="39" t="n">
        <v>2</v>
      </c>
    </row>
    <row r="32" customFormat="false" ht="15" hidden="false" customHeight="false" outlineLevel="0" collapsed="false">
      <c r="A32" s="39" t="s">
        <v>236</v>
      </c>
      <c r="B32" s="39" t="s">
        <v>237</v>
      </c>
      <c r="C32" s="39" t="s">
        <v>238</v>
      </c>
      <c r="D32" s="39" t="n">
        <v>2</v>
      </c>
    </row>
    <row r="33" customFormat="false" ht="15" hidden="false" customHeight="false" outlineLevel="0" collapsed="false">
      <c r="A33" s="39" t="s">
        <v>239</v>
      </c>
      <c r="B33" s="39" t="s">
        <v>240</v>
      </c>
      <c r="C33" s="39" t="s">
        <v>241</v>
      </c>
      <c r="D33" s="39" t="n">
        <v>2</v>
      </c>
    </row>
    <row r="34" customFormat="false" ht="15" hidden="false" customHeight="false" outlineLevel="0" collapsed="false">
      <c r="A34" s="39" t="s">
        <v>242</v>
      </c>
      <c r="B34" s="39" t="s">
        <v>242</v>
      </c>
      <c r="C34" s="39" t="s">
        <v>243</v>
      </c>
      <c r="D34" s="39" t="n">
        <v>2</v>
      </c>
    </row>
    <row r="35" customFormat="false" ht="15" hidden="false" customHeight="false" outlineLevel="0" collapsed="false">
      <c r="A35" s="39" t="s">
        <v>244</v>
      </c>
      <c r="B35" s="39" t="s">
        <v>245</v>
      </c>
      <c r="C35" s="39" t="s">
        <v>246</v>
      </c>
      <c r="D35" s="39" t="n">
        <v>2</v>
      </c>
    </row>
  </sheetData>
  <printOptions headings="false" gridLines="false" gridLinesSet="true" horizontalCentered="false" verticalCentered="false"/>
  <pageMargins left="0.2" right="0.2" top="0.2" bottom="0.2"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2"/>
  </cols>
  <sheetData>
    <row r="1" customFormat="false" ht="30" hidden="false" customHeight="true" outlineLevel="0" collapsed="false">
      <c r="A1" s="2" t="s">
        <v>247</v>
      </c>
      <c r="B1" s="2"/>
    </row>
    <row r="3" customFormat="false" ht="15" hidden="false" customHeight="false" outlineLevel="0" collapsed="false">
      <c r="A3" s="5" t="s">
        <v>248</v>
      </c>
      <c r="B3" s="40" t="s">
        <v>249</v>
      </c>
    </row>
    <row r="4" customFormat="false" ht="15" hidden="false" customHeight="false" outlineLevel="0" collapsed="false">
      <c r="A4" s="5" t="s">
        <v>250</v>
      </c>
      <c r="B4" s="40" t="s">
        <v>251</v>
      </c>
    </row>
    <row r="5" customFormat="false" ht="15" hidden="false" customHeight="false" outlineLevel="0" collapsed="false">
      <c r="A5" s="5" t="s">
        <v>252</v>
      </c>
      <c r="B5" s="40" t="s">
        <v>253</v>
      </c>
    </row>
    <row r="6" customFormat="false" ht="15" hidden="false" customHeight="false" outlineLevel="0" collapsed="false">
      <c r="A6" s="5" t="s">
        <v>254</v>
      </c>
      <c r="B6" s="40" t="s">
        <v>255</v>
      </c>
    </row>
    <row r="7" customFormat="false" ht="15" hidden="false" customHeight="false" outlineLevel="0" collapsed="false">
      <c r="A7" s="5" t="s">
        <v>256</v>
      </c>
      <c r="B7" s="40" t="s">
        <v>257</v>
      </c>
    </row>
    <row r="8" customFormat="false" ht="15" hidden="false" customHeight="false" outlineLevel="0" collapsed="false">
      <c r="A8" s="5" t="s">
        <v>258</v>
      </c>
      <c r="B8" s="40" t="s">
        <v>259</v>
      </c>
    </row>
    <row r="9" customFormat="false" ht="15" hidden="false" customHeight="false" outlineLevel="0" collapsed="false">
      <c r="A9" s="5" t="s">
        <v>260</v>
      </c>
      <c r="B9" s="40" t="s">
        <v>261</v>
      </c>
    </row>
    <row r="10" customFormat="false" ht="63.75" hidden="false" customHeight="true" outlineLevel="0" collapsed="false">
      <c r="A10" s="5" t="s">
        <v>262</v>
      </c>
      <c r="B10" s="40" t="s">
        <v>263</v>
      </c>
    </row>
    <row r="12" customFormat="false" ht="19.5" hidden="false" customHeight="true" outlineLevel="0" collapsed="false">
      <c r="A12" s="19" t="s">
        <v>75</v>
      </c>
      <c r="B12" s="19"/>
    </row>
  </sheetData>
  <sheetProtection sheet="true" password="b0c5"/>
  <mergeCells count="2">
    <mergeCell ref="A1:B1"/>
    <mergeCell ref="A12:B12"/>
  </mergeCells>
  <printOptions headings="false" gridLines="false" gridLinesSet="true" horizontalCentered="false" verticalCentered="false"/>
  <pageMargins left="0.2" right="0.2" top="0.2" bottom="0.2"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Financial Analysis</cp:category>
  <dcterms:created xsi:type="dcterms:W3CDTF">2026-08-21T03:12:25Z</dcterms:created>
  <dc:creator>Md Kamrul Hasan</dc:creator>
  <dc:description>Created by Md Kamrul Hasan (https://github.com/Kamrul5242). Signature MKH-EBIC-2.1.0. MIT License — attribution required.</dc:description>
  <dc:identifier>MKH-EBIC-2.1.0</dc:identifier>
  <cp:keywords>Md Kamrul Hasan MKH-EBIC-2.1.0 CFO dashboard BDT multi-currency</cp:keywords>
  <dc:language>en-US</dc:language>
  <cp:lastModifiedBy/>
  <dcterms:modified xsi:type="dcterms:W3CDTF">2026-08-21T08:16:59Z</dcterms:modified>
  <cp:revision>3</cp:revision>
  <dc:subject>Digital Signature MKH-EBIC-2.1.0</dc:subject>
  <dc:title>CFO Premium Dashboard — Entrepreneur Business Intelligence</dc:title>
</cp:coreProperties>
</file>

<file path=docProps/custom.xml><?xml version="1.0" encoding="utf-8"?>
<Properties xmlns="http://schemas.openxmlformats.org/officeDocument/2006/custom-properties" xmlns:vt="http://schemas.openxmlformats.org/officeDocument/2006/docPropsVTypes"/>
</file>