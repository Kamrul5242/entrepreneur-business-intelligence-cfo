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160" yWindow="2160" windowWidth="21600" windowHeight="11295" tabRatio="500" firstSheet="0" activeTab="0" autoFilterDateGrouping="1"/>
  </bookViews>
  <sheets>
    <sheet xmlns:r="http://schemas.openxmlformats.org/officeDocument/2006/relationships" name="1. Setup" sheetId="1" state="visible" r:id="rId1"/>
    <sheet xmlns:r="http://schemas.openxmlformats.org/officeDocument/2006/relationships" name="2. Dashboard" sheetId="2" state="visible" r:id="rId2"/>
    <sheet xmlns:r="http://schemas.openxmlformats.org/officeDocument/2006/relationships" name="3. Scenarios" sheetId="3" state="visible" r:id="rId3"/>
    <sheet xmlns:r="http://schemas.openxmlformats.org/officeDocument/2006/relationships" name="Ref" sheetId="4" state="visible" r:id="rId4"/>
    <sheet xmlns:r="http://schemas.openxmlformats.org/officeDocument/2006/relationships" name="Signature" sheetId="5" state="visible" r:id="rId5"/>
  </sheets>
  <definedNames>
    <definedName name="_xlnm.Print_Area" localSheetId="0">'1. Setup'!$A$1:$H$70</definedName>
    <definedName name="_xlnm.Print_Area" localSheetId="1">'2. Dashboard'!$A$1:$H$70</definedName>
    <definedName name="_xlnm.Print_Area" localSheetId="2">'3. Scenarios'!$A$1:$F$35</definedName>
    <definedName name="_xlnm.Print_Area" localSheetId="3">'Ref'!$A$1:$D$36</definedName>
    <definedName name="_xlnm.Print_Area" localSheetId="4">'Signature'!$A$1:$B$14</definedName>
  </definedNames>
  <calcPr calcId="191029" fullCalcOnLoad="1" iterateDelta="0.0001"/>
</workbook>
</file>

<file path=xl/styles.xml><?xml version="1.0" encoding="utf-8"?>
<styleSheet xmlns="http://schemas.openxmlformats.org/spreadsheetml/2006/main">
  <numFmts count="4">
    <numFmt numFmtId="164" formatCode="0.0%"/>
    <numFmt numFmtId="165" formatCode="#,##0;\(#,##0\);\-"/>
    <numFmt numFmtId="166" formatCode="0.00\x"/>
    <numFmt numFmtId="167" formatCode="0.0"/>
  </numFmts>
  <fonts count="17">
    <font>
      <name val="Calibri"/>
      <charset val="1"/>
      <family val="2"/>
      <color theme="1"/>
      <sz val="11"/>
    </font>
    <font>
      <name val="Arial"/>
      <charset val="1"/>
      <b val="1"/>
      <color rgb="FFFFFFFF"/>
      <sz val="14"/>
    </font>
    <font>
      <name val="Arial"/>
      <charset val="1"/>
      <i val="1"/>
      <color rgb="FFFFFFFF"/>
      <sz val="9"/>
    </font>
    <font>
      <name val="Arial"/>
      <charset val="1"/>
      <b val="1"/>
      <color rgb="FFFFFFFF"/>
      <sz val="11"/>
    </font>
    <font>
      <name val="Arial"/>
      <charset val="1"/>
      <b val="1"/>
      <color rgb="FF1A1A1A"/>
      <sz val="10"/>
    </font>
    <font>
      <name val="Arial"/>
      <charset val="1"/>
      <b val="1"/>
      <color rgb="FF0000FF"/>
      <sz val="10"/>
    </font>
    <font>
      <name val="FreeSans"/>
      <charset val="1"/>
      <family val="2"/>
      <b val="1"/>
      <color rgb="FF1A1A1A"/>
      <sz val="10"/>
    </font>
    <font>
      <name val="Arial"/>
      <charset val="1"/>
      <color rgb="FF1A1A1A"/>
      <sz val="10"/>
    </font>
    <font>
      <name val="Arial"/>
      <charset val="1"/>
      <color rgb="FF0000FF"/>
      <sz val="10"/>
    </font>
    <font>
      <name val="Arial"/>
      <charset val="1"/>
      <b val="1"/>
      <color rgb="FFFFFFFF"/>
      <sz val="10"/>
    </font>
    <font>
      <name val="Arial"/>
      <charset val="1"/>
      <i val="1"/>
      <color rgb="FF5A6672"/>
      <sz val="9"/>
    </font>
    <font>
      <name val="Arial"/>
      <charset val="1"/>
      <b val="1"/>
      <color rgb="FF1A1A1A"/>
      <sz val="9"/>
    </font>
    <font>
      <name val="Arial"/>
      <charset val="1"/>
      <b val="1"/>
      <color rgb="FFFFFFFF"/>
      <sz val="8"/>
    </font>
    <font>
      <name val="Arial"/>
      <family val="2"/>
      <sz val="10"/>
    </font>
    <font>
      <name val="Arial"/>
      <charset val="1"/>
      <b val="1"/>
      <color rgb="FF1A1A1A"/>
      <sz val="11"/>
    </font>
    <font>
      <name val="Arial"/>
      <charset val="1"/>
      <b val="1"/>
      <color rgb="FF1A1A1A"/>
      <sz val="12"/>
    </font>
    <font>
      <name val="Arial"/>
      <charset val="1"/>
      <color rgb="FF1A1A1A"/>
      <sz val="9"/>
    </font>
  </fonts>
  <fills count="8">
    <fill>
      <patternFill/>
    </fill>
    <fill>
      <patternFill patternType="gray125"/>
    </fill>
    <fill>
      <patternFill patternType="solid">
        <fgColor rgb="FF0F2438"/>
        <bgColor rgb="FF1A1A1A"/>
      </patternFill>
    </fill>
    <fill>
      <patternFill patternType="solid">
        <fgColor rgb="FF1B3A57"/>
        <bgColor rgb="FF2E4A63"/>
      </patternFill>
    </fill>
    <fill>
      <patternFill patternType="solid">
        <fgColor rgb="FF2E4A63"/>
        <bgColor rgb="FF1B3A57"/>
      </patternFill>
    </fill>
    <fill>
      <patternFill patternType="solid">
        <fgColor rgb="FFF4F6F8"/>
        <bgColor rgb="FFF9F9F9"/>
      </patternFill>
    </fill>
    <fill>
      <patternFill patternType="solid">
        <fgColor rgb="FFFFFF00"/>
        <bgColor rgb="FFFFFF00"/>
      </patternFill>
    </fill>
    <fill>
      <patternFill patternType="solid">
        <fgColor rgb="FFEAEEF2"/>
        <bgColor rgb="FFF4F6F8"/>
      </patternFill>
    </fill>
  </fills>
  <borders count="6">
    <border>
      <left/>
      <right/>
      <top/>
      <bottom/>
      <diagonal/>
    </border>
    <border>
      <left style="thin">
        <color rgb="FFC7D0D9"/>
      </left>
      <right style="thin">
        <color rgb="FFC7D0D9"/>
      </right>
      <top style="thin">
        <color rgb="FFC7D0D9"/>
      </top>
      <bottom style="thin">
        <color rgb="FFC7D0D9"/>
      </bottom>
      <diagonal/>
    </border>
    <border>
      <left/>
      <right/>
      <top style="thin">
        <color rgb="FFC7D0D9"/>
      </top>
      <bottom/>
      <diagonal/>
    </border>
    <border>
      <left/>
      <right style="thin">
        <color rgb="FFC7D0D9"/>
      </right>
      <top style="thin">
        <color rgb="FFC7D0D9"/>
      </top>
      <bottom/>
      <diagonal/>
    </border>
    <border>
      <left/>
      <right/>
      <top style="thin">
        <color rgb="FFC7D0D9"/>
      </top>
      <bottom style="thin">
        <color rgb="FFC7D0D9"/>
      </bottom>
      <diagonal/>
    </border>
    <border>
      <left/>
      <right style="thin">
        <color rgb="FFC7D0D9"/>
      </right>
      <top style="thin">
        <color rgb="FFC7D0D9"/>
      </top>
      <bottom style="thin">
        <color rgb="FFC7D0D9"/>
      </bottom>
      <diagonal/>
    </border>
  </borders>
  <cellStyleXfs count="1">
    <xf numFmtId="0" fontId="0" fillId="0" borderId="0"/>
  </cellStyleXfs>
  <cellXfs count="54">
    <xf numFmtId="0" fontId="0" fillId="0" borderId="0" pivotButton="0" quotePrefix="0" xfId="0"/>
    <xf numFmtId="164" fontId="4" fillId="0" borderId="1" applyAlignment="1" pivotButton="0" quotePrefix="0" xfId="0">
      <alignment horizontal="center" vertical="center"/>
    </xf>
    <xf numFmtId="0" fontId="9" fillId="4" borderId="1" applyAlignment="1" pivotButton="0" quotePrefix="0" xfId="0">
      <alignment horizontal="center" vertical="center"/>
    </xf>
    <xf numFmtId="0" fontId="15" fillId="7" borderId="1" applyAlignment="1" pivotButton="0" quotePrefix="0" xfId="0">
      <alignment horizontal="center" vertical="center" wrapText="1"/>
    </xf>
    <xf numFmtId="0" fontId="12" fillId="2" borderId="0" applyAlignment="1" pivotButton="0" quotePrefix="0" xfId="0">
      <alignment horizontal="center" vertical="center"/>
    </xf>
    <xf numFmtId="0" fontId="11" fillId="7" borderId="1" applyAlignment="1" pivotButton="0" quotePrefix="0" xfId="0">
      <alignment horizontal="left" vertical="center" wrapText="1"/>
    </xf>
    <xf numFmtId="0" fontId="3" fillId="4" borderId="0" applyAlignment="1" pivotButton="0" quotePrefix="0" xfId="0">
      <alignment horizontal="left" vertical="center" indent="1"/>
    </xf>
    <xf numFmtId="0" fontId="2" fillId="3" borderId="0" applyAlignment="1" pivotButton="0" quotePrefix="0" xfId="0">
      <alignment horizontal="left" vertical="center" indent="1"/>
    </xf>
    <xf numFmtId="0" fontId="1" fillId="2" borderId="0" applyAlignment="1" pivotButton="0" quotePrefix="0" xfId="0">
      <alignment horizontal="left" vertical="center" indent="1"/>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6" fillId="7" borderId="1" applyAlignment="1" pivotButton="0" quotePrefix="0" xfId="0">
      <alignment horizontal="center" vertical="center"/>
    </xf>
    <xf numFmtId="0" fontId="7" fillId="7" borderId="1" applyAlignment="1" pivotButton="0" quotePrefix="0" xfId="0">
      <alignment horizontal="center" vertical="center"/>
    </xf>
    <xf numFmtId="0" fontId="8"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5" fontId="8" fillId="6" borderId="1" applyAlignment="1" pivotButton="0" quotePrefix="0" xfId="0">
      <alignment horizontal="right"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5" fontId="4" fillId="7" borderId="1" applyAlignment="1" pivotButton="0" quotePrefix="0" xfId="0">
      <alignment horizontal="right"/>
    </xf>
    <xf numFmtId="3" fontId="8" fillId="6" borderId="1" applyAlignment="1" pivotButton="0" quotePrefix="0" xfId="0">
      <alignment horizontal="right" vertical="center"/>
    </xf>
    <xf numFmtId="1" fontId="8" fillId="6" borderId="1" applyAlignment="1" pivotButton="0" quotePrefix="0" xfId="0">
      <alignment horizontal="right" vertical="center"/>
    </xf>
    <xf numFmtId="0" fontId="6" fillId="7" borderId="0" applyAlignment="1" pivotButton="0" quotePrefix="0" xfId="0">
      <alignment horizontal="left" vertical="center"/>
    </xf>
    <xf numFmtId="0" fontId="4" fillId="7" borderId="0" applyAlignment="1" pivotButton="0" quotePrefix="0" xfId="0">
      <alignment horizontal="left" vertical="center"/>
    </xf>
    <xf numFmtId="165" fontId="14"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4" fontId="4" fillId="0" borderId="1" applyAlignment="1" pivotButton="0" quotePrefix="0" xfId="0">
      <alignment horizontal="right" vertical="center"/>
    </xf>
    <xf numFmtId="166" fontId="4" fillId="0" borderId="1" applyAlignment="1" pivotButton="0" quotePrefix="0" xfId="0">
      <alignment horizontal="right" vertical="center"/>
    </xf>
    <xf numFmtId="164" fontId="14" fillId="0" borderId="1" applyAlignment="1" pivotButton="0" quotePrefix="0" xfId="0">
      <alignment horizontal="right" vertical="center"/>
    </xf>
    <xf numFmtId="165"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164" fontId="8" fillId="6" borderId="1" applyAlignment="1" pivotButton="0" quotePrefix="0" xfId="0">
      <alignment horizontal="center"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165" fontId="4" fillId="0" borderId="1" applyAlignment="1" pivotButton="0" quotePrefix="0" xfId="0">
      <alignment horizontal="center" vertical="center"/>
    </xf>
    <xf numFmtId="9" fontId="4" fillId="5" borderId="1" applyAlignment="1" pivotButton="0" quotePrefix="0" xfId="0">
      <alignment horizontal="center" vertical="center"/>
    </xf>
    <xf numFmtId="0" fontId="16" fillId="0" borderId="1" applyAlignment="1" pivotButton="0" quotePrefix="0" xfId="0">
      <alignment horizontal="left" vertical="center"/>
    </xf>
    <xf numFmtId="0" fontId="7" fillId="0" borderId="1" applyAlignment="1" pivotButton="0" quotePrefix="0" xfId="0">
      <alignment horizontal="left" vertical="center" wrapText="1"/>
    </xf>
    <xf numFmtId="165" fontId="8" fillId="6" borderId="1" applyAlignment="1" pivotButton="0" quotePrefix="0" xfId="0">
      <alignment horizontal="right" vertical="center"/>
    </xf>
    <xf numFmtId="165" fontId="4" fillId="7" borderId="1" applyAlignment="1" pivotButton="0" quotePrefix="0" xfId="0">
      <alignment horizontal="right"/>
    </xf>
    <xf numFmtId="0" fontId="0" fillId="0" borderId="4" pivotButton="0" quotePrefix="0" xfId="0"/>
    <xf numFmtId="0" fontId="0" fillId="0" borderId="5" pivotButton="0" quotePrefix="0" xfId="0"/>
    <xf numFmtId="165" fontId="14" fillId="0" borderId="1" applyAlignment="1" pivotButton="0" quotePrefix="0" xfId="0">
      <alignment horizontal="right" vertical="center"/>
    </xf>
    <xf numFmtId="164" fontId="4" fillId="0" borderId="1" applyAlignment="1" pivotButton="0" quotePrefix="0" xfId="0">
      <alignment horizontal="right" vertical="center"/>
    </xf>
    <xf numFmtId="164" fontId="14" fillId="0" borderId="1" applyAlignment="1" pivotButton="0" quotePrefix="0" xfId="0">
      <alignment horizontal="right" vertical="center"/>
    </xf>
    <xf numFmtId="165" fontId="4" fillId="0" borderId="1" applyAlignment="1" pivotButton="0" quotePrefix="0" xfId="0">
      <alignment horizontal="right" vertical="center"/>
    </xf>
    <xf numFmtId="164" fontId="8" fillId="6" borderId="1" applyAlignment="1" pivotButton="0" quotePrefix="0" xfId="0">
      <alignment horizontal="center"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165" fontId="4" fillId="0" borderId="1" applyAlignment="1" pivotButton="0" quotePrefix="0" xfId="0">
      <alignment horizontal="center" vertical="center"/>
    </xf>
    <xf numFmtId="164" fontId="4" fillId="0" borderId="1" applyAlignment="1" pivotButton="0" quotePrefix="0" xfId="0">
      <alignment horizontal="center" vertical="center"/>
    </xf>
  </cellXfs>
  <cellStyles count="1">
    <cellStyle name="Normal" xfId="0" builtinId="0"/>
  </cellStyles>
  <dxfs count="6">
    <dxf>
      <font>
        <name val="Arial"/>
        <charset val="1"/>
        <b val="1"/>
        <color rgb="FFFFFFFF"/>
      </font>
      <fill>
        <patternFill>
          <bgColor rgb="FF1E7B45"/>
        </patternFill>
      </fill>
    </dxf>
    <dxf>
      <font>
        <name val="Arial"/>
        <charset val="1"/>
        <b val="1"/>
        <color rgb="FFFFFFFF"/>
      </font>
      <fill>
        <patternFill>
          <bgColor rgb="FFB3261E"/>
        </patternFill>
      </fill>
    </dxf>
    <dxf>
      <font>
        <name val="Arial"/>
        <charset val="1"/>
        <b val="1"/>
        <color rgb="FFFFFFFF"/>
      </font>
      <fill>
        <patternFill>
          <bgColor rgb="FF1E7B45"/>
        </patternFill>
      </fill>
    </dxf>
    <dxf>
      <font>
        <name val="Arial"/>
        <charset val="1"/>
        <b val="1"/>
        <color rgb="FFFFFFFF"/>
      </font>
      <fill>
        <patternFill>
          <bgColor rgb="FFB3261E"/>
        </patternFill>
      </fill>
    </dxf>
    <dxf>
      <font>
        <name val="Arial"/>
        <charset val="1"/>
        <b val="1"/>
        <color rgb="FFFFFFFF"/>
      </font>
      <fill>
        <patternFill>
          <bgColor rgb="FF1E7B45"/>
        </patternFill>
      </fill>
    </dxf>
    <dxf>
      <font>
        <name val="Arial"/>
        <charset val="1"/>
        <b val="1"/>
        <color rgb="FFFFFFFF"/>
      </font>
      <fill>
        <patternFill>
          <bgColor rgb="FFB3261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E7B45"/>
      <rgbColor rgb="FFD9D9D9"/>
      <rgbColor rgb="FF878787"/>
      <rgbColor rgb="FF9999FF"/>
      <rgbColor rgb="FF993366"/>
      <rgbColor rgb="FFF9F9F9"/>
      <rgbColor rgb="FFEAEEF2"/>
      <rgbColor rgb="FF660066"/>
      <rgbColor rgb="FFFF8080"/>
      <rgbColor rgb="FF0066CC"/>
      <rgbColor rgb="FFC7D0D9"/>
      <rgbColor rgb="FF000080"/>
      <rgbColor rgb="FFFF00FF"/>
      <rgbColor rgb="FFFFFF00"/>
      <rgbColor rgb="FF00FFFF"/>
      <rgbColor rgb="FF800080"/>
      <rgbColor rgb="FF800000"/>
      <rgbColor rgb="FF008080"/>
      <rgbColor rgb="FF0000FF"/>
      <rgbColor rgb="FF00CCFF"/>
      <rgbColor rgb="FFF4F6F8"/>
      <rgbColor rgb="FFCCFFCC"/>
      <rgbColor rgb="FFFFFF99"/>
      <rgbColor rgb="FF99CCFF"/>
      <rgbColor rgb="FFFF99CC"/>
      <rgbColor rgb="FFCC99FF"/>
      <rgbColor rgb="FFFFCC99"/>
      <rgbColor rgb="FF4F81BD"/>
      <rgbColor rgb="FF33CCCC"/>
      <rgbColor rgb="FF99CC00"/>
      <rgbColor rgb="FFFFCC00"/>
      <rgbColor rgb="FFFF9900"/>
      <rgbColor rgb="FFFF6600"/>
      <rgbColor rgb="FF5A6672"/>
      <rgbColor rgb="FF969696"/>
      <rgbColor rgb="FF1B3A57"/>
      <rgbColor rgb="FF339966"/>
      <rgbColor rgb="FF003300"/>
      <rgbColor rgb="FF1A1A1A"/>
      <rgbColor rgb="FFB3261E"/>
      <rgbColor rgb="FF993366"/>
      <rgbColor rgb="FF2E4A63"/>
      <rgbColor rgb="FF0F243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Profit Waterfall</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spPr>
            <a:solidFill xmlns:a="http://schemas.openxmlformats.org/drawingml/2006/main">
              <a:srgbClr val="4F81BD"/>
            </a:solidFill>
            <a:ln xmlns:a="http://schemas.openxmlformats.org/drawingml/2006/main" w="9360">
              <a:solidFill>
                <a:srgbClr val="F9F9F9"/>
              </a:solidFill>
              <a:prstDash val="solid"/>
              <a:round/>
            </a:ln>
          </spPr>
          <invertIfNegative val="0"/>
          <dLbls>
            <spPr>
              <a:noFill xmlns:a="http://schemas.openxmlformats.org/drawingml/2006/main"/>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endParaRPr lang="en-US"/>
              </a:p>
            </txPr>
            <dLblPos val="outEnd"/>
            <showLegendKey val="0"/>
            <showVal val="0"/>
            <showCatName val="0"/>
            <showSerName val="0"/>
            <showPercent val="0"/>
            <showBubbleSize val="1"/>
            <showLeaderLines val="0"/>
          </dLbls>
          <cat>
            <strRef>
              <f>'2. Dashboard'!$A$7:$A$12</f>
              <strCache>
                <ptCount val="6"/>
                <pt idx="0">
                  <v>Net Revenue</v>
                </pt>
                <pt idx="1">
                  <v>Gross Profit</v>
                </pt>
                <pt idx="2">
                  <v>Contribution (pre-ad)</v>
                </pt>
                <pt idx="3">
                  <v>CM after Ads</v>
                </pt>
                <pt idx="4">
                  <v>Operating Profit</v>
                </pt>
                <pt idx="5">
                  <v>Net Profit</v>
                </pt>
              </strCache>
            </strRef>
          </cat>
          <val>
            <numRef>
              <f>'2. Dashboard'!$B$7:$B$12</f>
              <numCache>
                <formatCode>#,##0;\(#,##0\);\-</formatCode>
                <ptCount val="6"/>
                <pt idx="0">
                  <v>850000</v>
                </pt>
                <pt idx="1">
                  <v>408000</v>
                </pt>
                <pt idx="2">
                  <v>284750</v>
                </pt>
                <pt idx="3">
                  <v>44750</v>
                </pt>
                <pt idx="4">
                  <v>-135250</v>
                </pt>
                <pt idx="5">
                  <v>-147250</v>
                </pt>
              </numCache>
            </numRef>
          </val>
        </ser>
        <dLbls>
          <showLegendKey val="0"/>
          <showVal val="0"/>
          <showCatName val="0"/>
          <showSerName val="0"/>
          <showPercent val="0"/>
          <showBubbleSize val="0"/>
        </dLbls>
        <gapWidth val="150"/>
        <axId val="70966952"/>
        <axId val="69810694"/>
      </barChart>
      <catAx>
        <axId val="7096695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n-US"/>
          </a:p>
        </txPr>
        <crossAx val="69810694"/>
        <crosses val="autoZero"/>
        <auto val="1"/>
        <lblAlgn val="ctr"/>
        <lblOffset val="100"/>
        <noMultiLvlLbl val="0"/>
      </catAx>
      <valAx>
        <axId val="6981069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Amount</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n-US"/>
          </a:p>
        </txPr>
        <crossAx val="70966952"/>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B5" authorId="0" shapeId="0">
      <text>
        <t>Change this to switch every currency symbol in the workbook.
Md Kamrul Hasan · MKH-EBIC-2.1.0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36</row>
      <rowOff>0</rowOff>
    </from>
    <to>
      <col>4</col>
      <colOff>855360</colOff>
      <row>51</row>
      <rowOff>21600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H70"/>
  <sheetViews>
    <sheetView showGridLines="0" tabSelected="1" zoomScaleNormal="100" workbookViewId="0">
      <pane ySplit="3" topLeftCell="A4" activePane="bottomLeft" state="frozen"/>
      <selection pane="bottomLeft" activeCell="A1" sqref="A1:H1"/>
    </sheetView>
  </sheetViews>
  <sheetFormatPr baseColWidth="8" defaultColWidth="8.7109375" defaultRowHeight="15"/>
  <cols>
    <col width="34" customWidth="1" min="1" max="1"/>
    <col width="18" customWidth="1" min="2" max="2"/>
    <col width="16" customWidth="1" min="3" max="7"/>
    <col width="22" customWidth="1" min="8" max="8"/>
  </cols>
  <sheetData>
    <row r="1" ht="30" customHeight="1">
      <c r="A1" s="8" t="inlineStr">
        <is>
          <t>CFO DASHBOARD  ·  SETUP &amp; INPUTS</t>
        </is>
      </c>
    </row>
    <row r="2" ht="18" customHeight="1">
      <c r="A2" s="7" t="inlineStr">
        <is>
          <t>Fill ONLY the yellow cells. Everything else calculates automatically.</t>
        </is>
      </c>
    </row>
    <row r="4" ht="21.75" customHeight="1">
      <c r="A4" s="6" t="inlineStr">
        <is>
          <t>CURRENCY</t>
        </is>
      </c>
    </row>
    <row r="5">
      <c r="A5" s="9" t="inlineStr">
        <is>
          <t>Select currency</t>
        </is>
      </c>
      <c r="B5" s="10" t="inlineStr">
        <is>
          <t>BDT</t>
        </is>
      </c>
    </row>
    <row r="6">
      <c r="A6" s="9" t="inlineStr">
        <is>
          <t>Symbol (auto)</t>
        </is>
      </c>
      <c r="B6" s="11">
        <f>IFERROR(INDEX(Ref!$B$2:$B$35,MATCH($B$5,Ref!$A$2:$A$35,0)),"?")</f>
        <v/>
      </c>
    </row>
    <row r="7">
      <c r="A7" s="9" t="inlineStr">
        <is>
          <t>Currency name (auto)</t>
        </is>
      </c>
      <c r="B7" s="12">
        <f>IFERROR(INDEX(Ref!$C$2:$C$35,MATCH($B$5,Ref!$A$2:$A$35,0)),"Unknown")</f>
        <v/>
      </c>
    </row>
    <row r="8">
      <c r="A8" s="9" t="inlineStr">
        <is>
          <t>Reporting period</t>
        </is>
      </c>
      <c r="B8" s="13" t="inlineStr">
        <is>
          <t>2026-03 (monthly)</t>
        </is>
      </c>
    </row>
    <row r="10" ht="21.75" customHeight="1">
      <c r="A10" s="6" t="inlineStr">
        <is>
          <t>INCOME  ·  enter your numbers</t>
        </is>
      </c>
    </row>
    <row r="11">
      <c r="A11" s="14" t="inlineStr">
        <is>
          <t>Line item</t>
        </is>
      </c>
      <c r="B11" s="14" t="inlineStr">
        <is>
          <t>Amount</t>
        </is>
      </c>
      <c r="C11" s="14" t="inlineStr">
        <is>
          <t>Note</t>
        </is>
      </c>
    </row>
    <row r="12" ht="24" customHeight="1">
      <c r="A12" s="15" t="inlineStr">
        <is>
          <t>Gross Revenue</t>
        </is>
      </c>
      <c r="B12" s="41" t="n">
        <v>920000</v>
      </c>
      <c r="C12" s="17" t="inlineStr">
        <is>
          <t>All sales before returns</t>
        </is>
      </c>
    </row>
    <row r="13">
      <c r="A13" s="15" t="inlineStr">
        <is>
          <t>Returns &amp; Refunds</t>
        </is>
      </c>
      <c r="B13" s="41" t="n">
        <v>70000</v>
      </c>
      <c r="C13" s="17" t="inlineStr">
        <is>
          <t>Enter positive</t>
        </is>
      </c>
    </row>
    <row r="14">
      <c r="A14" s="15" t="inlineStr">
        <is>
          <t>Discounts Given</t>
        </is>
      </c>
      <c r="B14" s="41" t="n">
        <v>0</v>
      </c>
      <c r="C14" s="17" t="n"/>
    </row>
    <row r="15">
      <c r="A15" s="18" t="inlineStr">
        <is>
          <t>NET REVENUE</t>
        </is>
      </c>
      <c r="B15" s="42">
        <f>B12-B13-B14</f>
        <v/>
      </c>
      <c r="C15" s="18" t="n"/>
    </row>
    <row r="17" ht="21.75" customHeight="1">
      <c r="A17" s="6" t="inlineStr">
        <is>
          <t>COST OF GOODS SOLD</t>
        </is>
      </c>
    </row>
    <row r="18">
      <c r="A18" s="14" t="inlineStr">
        <is>
          <t>Line item</t>
        </is>
      </c>
      <c r="B18" s="14" t="inlineStr">
        <is>
          <t>Amount</t>
        </is>
      </c>
      <c r="C18" s="14" t="inlineStr">
        <is>
          <t>Note</t>
        </is>
      </c>
    </row>
    <row r="19" ht="24" customHeight="1">
      <c r="A19" s="15" t="inlineStr">
        <is>
          <t>Product / Material (LANDED)</t>
        </is>
      </c>
      <c r="B19" s="41" t="n">
        <v>380000</v>
      </c>
      <c r="C19" s="17" t="inlineStr">
        <is>
          <t>incl. freight, duty, clearing</t>
        </is>
      </c>
    </row>
    <row r="20" ht="24" customHeight="1">
      <c r="A20" s="15" t="inlineStr">
        <is>
          <t>Direct Labour</t>
        </is>
      </c>
      <c r="B20" s="41" t="n">
        <v>40000</v>
      </c>
      <c r="C20" s="17" t="inlineStr">
        <is>
          <t>Production staff only</t>
        </is>
      </c>
    </row>
    <row r="21">
      <c r="A21" s="15" t="inlineStr">
        <is>
          <t>Packaging</t>
        </is>
      </c>
      <c r="B21" s="41" t="n">
        <v>22000</v>
      </c>
      <c r="C21" s="17" t="n"/>
    </row>
    <row r="22">
      <c r="A22" s="18" t="inlineStr">
        <is>
          <t>TOTAL COGS</t>
        </is>
      </c>
      <c r="B22" s="42">
        <f>SUM(B19:B21)</f>
        <v/>
      </c>
      <c r="C22" s="18" t="n"/>
    </row>
    <row r="24" ht="21.75" customHeight="1">
      <c r="A24" s="6" t="inlineStr">
        <is>
          <t>OTHER VARIABLE COSTS  ·  the ones founders forget</t>
        </is>
      </c>
    </row>
    <row r="25">
      <c r="A25" s="14" t="inlineStr">
        <is>
          <t>Line item</t>
        </is>
      </c>
      <c r="B25" s="14" t="inlineStr">
        <is>
          <t>Amount</t>
        </is>
      </c>
      <c r="C25" s="14" t="inlineStr">
        <is>
          <t>Note</t>
        </is>
      </c>
    </row>
    <row r="26">
      <c r="A26" s="15" t="inlineStr">
        <is>
          <t>Outbound Shipping</t>
        </is>
      </c>
      <c r="B26" s="41" t="n">
        <v>102000</v>
      </c>
      <c r="C26" s="17" t="inlineStr">
        <is>
          <t>Your share</t>
        </is>
      </c>
    </row>
    <row r="27">
      <c r="A27" s="15" t="inlineStr">
        <is>
          <t>Payment Gateway Fees</t>
        </is>
      </c>
      <c r="B27" s="41" t="n">
        <v>21250</v>
      </c>
      <c r="C27" s="17" t="inlineStr">
        <is>
          <t>% + fixed</t>
        </is>
      </c>
    </row>
    <row r="28">
      <c r="A28" s="15" t="inlineStr">
        <is>
          <t>Marketplace Commission</t>
        </is>
      </c>
      <c r="B28" s="41" t="n">
        <v>0</v>
      </c>
      <c r="C28" s="17" t="n"/>
    </row>
    <row r="29" ht="24" customHeight="1">
      <c r="A29" s="15" t="inlineStr">
        <is>
          <t>RTO / Failed Delivery</t>
        </is>
      </c>
      <c r="B29" s="41" t="n">
        <v>0</v>
      </c>
      <c r="C29" s="17" t="inlineStr">
        <is>
          <t>Two-way shipping loss</t>
        </is>
      </c>
    </row>
    <row r="30">
      <c r="A30" s="18" t="inlineStr">
        <is>
          <t>TOTAL OTHER VARIABLE</t>
        </is>
      </c>
      <c r="B30" s="42">
        <f>SUM(B26:B29)</f>
        <v/>
      </c>
      <c r="C30" s="18" t="n"/>
    </row>
    <row r="32" ht="21.75" customHeight="1">
      <c r="A32" s="6" t="inlineStr">
        <is>
          <t>OPERATING EXPENSES  ·  fixed</t>
        </is>
      </c>
    </row>
    <row r="33">
      <c r="A33" s="14" t="inlineStr">
        <is>
          <t>Line item</t>
        </is>
      </c>
      <c r="B33" s="14" t="inlineStr">
        <is>
          <t>Amount</t>
        </is>
      </c>
      <c r="C33" s="14" t="inlineStr">
        <is>
          <t>Note</t>
        </is>
      </c>
    </row>
    <row r="34">
      <c r="A34" s="15" t="inlineStr">
        <is>
          <t>Advertising Spend</t>
        </is>
      </c>
      <c r="B34" s="41" t="n">
        <v>240000</v>
      </c>
      <c r="C34" s="17" t="inlineStr">
        <is>
          <t>All platforms</t>
        </is>
      </c>
    </row>
    <row r="35">
      <c r="A35" s="15" t="inlineStr">
        <is>
          <t>Salaries (non-production)</t>
        </is>
      </c>
      <c r="B35" s="41" t="n">
        <v>95000</v>
      </c>
      <c r="C35" s="17" t="n"/>
    </row>
    <row r="36" ht="24" customHeight="1">
      <c r="A36" s="15" t="inlineStr">
        <is>
          <t>Owner Compensation</t>
        </is>
      </c>
      <c r="B36" s="41" t="n">
        <v>40000</v>
      </c>
      <c r="C36" s="17" t="inlineStr">
        <is>
          <t>Market rate even if unpaid</t>
        </is>
      </c>
    </row>
    <row r="37">
      <c r="A37" s="15" t="inlineStr">
        <is>
          <t>Rent</t>
        </is>
      </c>
      <c r="B37" s="41" t="n">
        <v>25000</v>
      </c>
      <c r="C37" s="17" t="n"/>
    </row>
    <row r="38">
      <c r="A38" s="15" t="inlineStr">
        <is>
          <t>Software &amp; Subscriptions</t>
        </is>
      </c>
      <c r="B38" s="41" t="n">
        <v>8000</v>
      </c>
      <c r="C38" s="17" t="n"/>
    </row>
    <row r="39">
      <c r="A39" s="15" t="inlineStr">
        <is>
          <t>Other Operating</t>
        </is>
      </c>
      <c r="B39" s="41" t="n">
        <v>12000</v>
      </c>
      <c r="C39" s="17" t="n"/>
    </row>
    <row r="40">
      <c r="A40" s="15" t="inlineStr">
        <is>
          <t>Depreciation &amp; Amortization</t>
        </is>
      </c>
      <c r="B40" s="41" t="n">
        <v>0</v>
      </c>
      <c r="C40" s="17" t="inlineStr">
        <is>
          <t>Non-cash</t>
        </is>
      </c>
    </row>
    <row r="41">
      <c r="A41" s="18" t="inlineStr">
        <is>
          <t>TOTAL OPEX</t>
        </is>
      </c>
      <c r="B41" s="42">
        <f>SUM(B34:B40)</f>
        <v/>
      </c>
      <c r="C41" s="18" t="n"/>
    </row>
    <row r="43" ht="21.75" customHeight="1">
      <c r="A43" s="6" t="inlineStr">
        <is>
          <t>BELOW THE LINE  ·  and cash-only items</t>
        </is>
      </c>
    </row>
    <row r="44">
      <c r="A44" s="14" t="inlineStr">
        <is>
          <t>Line item</t>
        </is>
      </c>
      <c r="B44" s="14" t="inlineStr">
        <is>
          <t>Amount</t>
        </is>
      </c>
      <c r="C44" s="14" t="inlineStr">
        <is>
          <t>Note</t>
        </is>
      </c>
    </row>
    <row r="45">
      <c r="A45" s="15" t="inlineStr">
        <is>
          <t>Interest Expense</t>
        </is>
      </c>
      <c r="B45" s="41" t="n">
        <v>12000</v>
      </c>
      <c r="C45" s="17" t="inlineStr">
        <is>
          <t>P&amp;L item</t>
        </is>
      </c>
    </row>
    <row r="46">
      <c r="A46" s="15" t="inlineStr">
        <is>
          <t>Tax</t>
        </is>
      </c>
      <c r="B46" s="41" t="n">
        <v>0</v>
      </c>
      <c r="C46" s="17" t="n"/>
    </row>
    <row r="47" ht="36" customHeight="1">
      <c r="A47" s="15" t="inlineStr">
        <is>
          <t>Loan Principal Repaid</t>
        </is>
      </c>
      <c r="B47" s="41" t="n">
        <v>35000</v>
      </c>
      <c r="C47" s="17" t="inlineStr">
        <is>
          <t>CASH ONLY — not a P&amp;L expense</t>
        </is>
      </c>
    </row>
    <row r="48">
      <c r="A48" s="15" t="inlineStr">
        <is>
          <t>Capital Expenditure</t>
        </is>
      </c>
      <c r="B48" s="41" t="n">
        <v>0</v>
      </c>
      <c r="C48" s="17" t="inlineStr">
        <is>
          <t>Cash only</t>
        </is>
      </c>
    </row>
    <row r="49" ht="36" customHeight="1">
      <c r="A49" s="15" t="inlineStr">
        <is>
          <t>Owner Drawings</t>
        </is>
      </c>
      <c r="B49" s="41" t="n">
        <v>60000</v>
      </c>
      <c r="C49" s="17" t="inlineStr">
        <is>
          <t>CASH ONLY — not a P&amp;L expense</t>
        </is>
      </c>
    </row>
    <row r="51" ht="21.75" customHeight="1">
      <c r="A51" s="6" t="inlineStr">
        <is>
          <t>OPERATIONS &amp; BALANCE  ·  for unit economics and cash cycle</t>
        </is>
      </c>
    </row>
    <row r="52">
      <c r="A52" s="14" t="inlineStr">
        <is>
          <t>Line item</t>
        </is>
      </c>
      <c r="B52" s="14" t="inlineStr">
        <is>
          <t>Value</t>
        </is>
      </c>
      <c r="C52" s="14" t="inlineStr">
        <is>
          <t>Note</t>
        </is>
      </c>
    </row>
    <row r="53">
      <c r="A53" s="15" t="inlineStr">
        <is>
          <t>Number of Orders</t>
        </is>
      </c>
      <c r="B53" s="20" t="n">
        <v>1700</v>
      </c>
      <c r="C53" s="17" t="inlineStr">
        <is>
          <t>count</t>
        </is>
      </c>
    </row>
    <row r="54">
      <c r="A54" s="15" t="inlineStr">
        <is>
          <t>New Customers</t>
        </is>
      </c>
      <c r="B54" s="20" t="n">
        <v>1200</v>
      </c>
      <c r="C54" s="17" t="inlineStr">
        <is>
          <t>count</t>
        </is>
      </c>
    </row>
    <row r="55">
      <c r="A55" s="15" t="inlineStr">
        <is>
          <t>Repeat Customers</t>
        </is>
      </c>
      <c r="B55" s="20" t="n">
        <v>500</v>
      </c>
      <c r="C55" s="17" t="inlineStr">
        <is>
          <t>count</t>
        </is>
      </c>
    </row>
    <row r="56">
      <c r="A56" s="15" t="inlineStr">
        <is>
          <t>Customers Lost (churn)</t>
        </is>
      </c>
      <c r="B56" s="20" t="n">
        <v>90</v>
      </c>
      <c r="C56" s="17" t="inlineStr">
        <is>
          <t>count</t>
        </is>
      </c>
    </row>
    <row r="57">
      <c r="A57" s="15" t="inlineStr">
        <is>
          <t>Customers at Period Start</t>
        </is>
      </c>
      <c r="B57" s="20" t="n">
        <v>1500</v>
      </c>
      <c r="C57" s="17" t="inlineStr">
        <is>
          <t>count</t>
        </is>
      </c>
    </row>
    <row r="58">
      <c r="A58" s="15" t="inlineStr">
        <is>
          <t>Cash &amp; Bank (closing)</t>
        </is>
      </c>
      <c r="B58" s="41" t="n">
        <v>850000</v>
      </c>
      <c r="C58" s="17" t="n"/>
    </row>
    <row r="59">
      <c r="A59" s="15" t="inlineStr">
        <is>
          <t>Accounts Receivable (avg)</t>
        </is>
      </c>
      <c r="B59" s="41" t="n">
        <v>310000</v>
      </c>
      <c r="C59" s="17" t="n"/>
    </row>
    <row r="60">
      <c r="A60" s="15" t="inlineStr">
        <is>
          <t>Inventory at Cost (avg)</t>
        </is>
      </c>
      <c r="B60" s="41" t="n">
        <v>640000</v>
      </c>
      <c r="C60" s="17" t="n"/>
    </row>
    <row r="61">
      <c r="A61" s="15" t="inlineStr">
        <is>
          <t>Accounts Payable (avg)</t>
        </is>
      </c>
      <c r="B61" s="41" t="n">
        <v>220000</v>
      </c>
      <c r="C61" s="17" t="n"/>
    </row>
    <row r="62">
      <c r="A62" s="15" t="inlineStr">
        <is>
          <t>Total Debt</t>
        </is>
      </c>
      <c r="B62" s="41" t="n">
        <v>700000</v>
      </c>
      <c r="C62" s="17" t="n"/>
    </row>
    <row r="63">
      <c r="A63" s="15" t="inlineStr">
        <is>
          <t>Current Assets</t>
        </is>
      </c>
      <c r="B63" s="41" t="n">
        <v>1800000</v>
      </c>
      <c r="C63" s="17" t="n"/>
    </row>
    <row r="64">
      <c r="A64" s="15" t="inlineStr">
        <is>
          <t>Current Liabilities</t>
        </is>
      </c>
      <c r="B64" s="41" t="n">
        <v>950000</v>
      </c>
      <c r="C64" s="17" t="n"/>
    </row>
    <row r="65">
      <c r="A65" s="15" t="inlineStr">
        <is>
          <t>Total Equity</t>
        </is>
      </c>
      <c r="B65" s="41" t="n">
        <v>1400000</v>
      </c>
      <c r="C65" s="17" t="n"/>
    </row>
    <row r="66">
      <c r="A66" s="15" t="inlineStr">
        <is>
          <t>Days in Period</t>
        </is>
      </c>
      <c r="B66" s="21" t="n">
        <v>30</v>
      </c>
      <c r="C66" s="17" t="inlineStr">
        <is>
          <t>30 / 90 / 365</t>
        </is>
      </c>
    </row>
    <row r="68" ht="27.75" customHeight="1">
      <c r="A68" s="5" t="inlineStr">
        <is>
          <t>LEGEND — Yellow fill + blue text = your input. Grey = calculated, do not edit. All figures in the currency chosen at B5.</t>
        </is>
      </c>
      <c r="B68" s="43" t="n"/>
      <c r="C68" s="44" t="n"/>
    </row>
    <row r="70" ht="19.5" customHeight="1">
      <c r="A70" s="4" t="inlineStr">
        <is>
          <t>◆ Md Kamrul Hasan  ·  https://github.com/Kamrul5242  ·  Digital Signature MKH-EBIC-2.2.0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pageMargins left="0.2" right="0.2" top="0.2" bottom="0.2" header="0.511811023622047" footer="0.511811023622047"/>
  <pageSetup orientation="landscape"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H56"/>
  <sheetViews>
    <sheetView showGridLines="0" zoomScaleNormal="100" workbookViewId="0">
      <pane ySplit="4" topLeftCell="A5" activePane="bottomLeft" state="frozen"/>
      <selection pane="bottomLeft" activeCell="A1" sqref="A1"/>
    </sheetView>
  </sheetViews>
  <sheetFormatPr baseColWidth="8" defaultColWidth="8.7109375"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8" t="inlineStr">
        <is>
          <t>EXECUTIVE DASHBOARD</t>
        </is>
      </c>
    </row>
    <row r="2" ht="18" customHeight="1">
      <c r="A2" s="7" t="inlineStr">
        <is>
          <t>Live from Setup. Change any input and every figure here updates.</t>
        </is>
      </c>
    </row>
    <row r="3">
      <c r="A3" s="22">
        <f>""&amp;'1. Setup'!$B$6&amp;"  ·  Period: "&amp;'1. Setup'!$B$8</f>
        <v/>
      </c>
      <c r="B3" s="23" t="n"/>
      <c r="C3" s="23" t="n"/>
      <c r="D3" s="23" t="n"/>
      <c r="E3" s="23" t="n"/>
      <c r="F3" s="23" t="n"/>
      <c r="G3" s="23" t="n"/>
      <c r="H3" s="23" t="n"/>
    </row>
    <row r="5" ht="21.75" customHeight="1">
      <c r="A5" s="6" t="inlineStr">
        <is>
          <t>KEY NUMBERS</t>
        </is>
      </c>
      <c r="E5" s="6" t="inlineStr">
        <is>
          <t>UNIT ECONOMICS</t>
        </is>
      </c>
    </row>
    <row r="6">
      <c r="A6" s="14" t="inlineStr">
        <is>
          <t>Metric</t>
        </is>
      </c>
      <c r="B6" s="14" t="inlineStr">
        <is>
          <t>Value</t>
        </is>
      </c>
      <c r="C6" s="14" t="inlineStr">
        <is>
          <t>Status</t>
        </is>
      </c>
      <c r="E6" s="14" t="inlineStr">
        <is>
          <t>Metric</t>
        </is>
      </c>
      <c r="F6" s="14" t="inlineStr">
        <is>
          <t>Value</t>
        </is>
      </c>
    </row>
    <row r="7">
      <c r="A7" s="9" t="inlineStr">
        <is>
          <t>Net Revenue</t>
        </is>
      </c>
      <c r="B7" s="45">
        <f>'1. Setup'!$B$15</f>
        <v/>
      </c>
      <c r="C7" s="25">
        <f>IF(B7&gt;0,"OK",IF(B7=0,"FLAT","LOSS"))</f>
        <v/>
      </c>
      <c r="E7" s="15" t="inlineStr">
        <is>
          <t>AOV</t>
        </is>
      </c>
      <c r="F7" s="26">
        <f>IFERROR('1. Setup'!$B$15/'1. Setup'!$B$53,0)</f>
        <v/>
      </c>
    </row>
    <row r="8">
      <c r="A8" s="9" t="inlineStr">
        <is>
          <t>Gross Profit</t>
        </is>
      </c>
      <c r="B8" s="45">
        <f>'1. Setup'!$B$15-'1. Setup'!$B$22</f>
        <v/>
      </c>
      <c r="C8" s="25">
        <f>IF(B8&gt;0,"OK",IF(B8=0,"FLAT","LOSS"))</f>
        <v/>
      </c>
      <c r="E8" s="15" t="inlineStr">
        <is>
          <t>Blended CAC</t>
        </is>
      </c>
      <c r="F8" s="26">
        <f>IFERROR('1. Setup'!$B$34/'1. Setup'!$B$54,0)</f>
        <v/>
      </c>
    </row>
    <row r="9">
      <c r="A9" s="9" t="inlineStr">
        <is>
          <t>Contribution (pre-ad)</t>
        </is>
      </c>
      <c r="B9" s="45">
        <f>'1. Setup'!$B$15-'1. Setup'!$B$22-'1. Setup'!$B$30</f>
        <v/>
      </c>
      <c r="C9" s="25">
        <f>IF(B9&gt;0,"OK",IF(B9=0,"FLAT","LOSS"))</f>
        <v/>
      </c>
      <c r="E9" s="15" t="inlineStr">
        <is>
          <t>CM per order</t>
        </is>
      </c>
      <c r="F9" s="26">
        <f>IFERROR(('1. Setup'!$B$15-'1. Setup'!$B$22-'1. Setup'!$B$30-'1. Setup'!$B$34)/'1. Setup'!$B$53,0)</f>
        <v/>
      </c>
    </row>
    <row r="10">
      <c r="A10" s="9" t="inlineStr">
        <is>
          <t>CM after Ads</t>
        </is>
      </c>
      <c r="B10" s="45">
        <f>'1. Setup'!$B$15-'1. Setup'!$B$22-'1. Setup'!$B$30-'1. Setup'!$B$34</f>
        <v/>
      </c>
      <c r="C10" s="25">
        <f>IF(B10&gt;0,"OK",IF(B10=0,"FLAT","LOSS"))</f>
        <v/>
      </c>
      <c r="E10" s="15" t="inlineStr">
        <is>
          <t>CM ratio (pre-ad)</t>
        </is>
      </c>
      <c r="F10" s="46">
        <f>IFERROR(('1. Setup'!$B$15-'1. Setup'!$B$22-'1. Setup'!$B$30)/'1. Setup'!$B$15,0)</f>
        <v/>
      </c>
    </row>
    <row r="11">
      <c r="A11" s="9" t="inlineStr">
        <is>
          <t>Operating Profit</t>
        </is>
      </c>
      <c r="B11" s="45">
        <f>'1. Setup'!$B$15-'1. Setup'!$B$22-'1. Setup'!$B$30-'1. Setup'!$B$41</f>
        <v/>
      </c>
      <c r="C11" s="25">
        <f>IF(B11&gt;0,"OK",IF(B11=0,"FLAT","LOSS"))</f>
        <v/>
      </c>
      <c r="E11" s="15" t="inlineStr">
        <is>
          <t>Break-even ROAS</t>
        </is>
      </c>
      <c r="F11" s="28">
        <f>IFERROR('1. Setup'!$B$15/('1. Setup'!$B$15-'1. Setup'!$B$22-'1. Setup'!$B$30),0)</f>
        <v/>
      </c>
    </row>
    <row r="12">
      <c r="A12" s="9" t="inlineStr">
        <is>
          <t>Net Profit</t>
        </is>
      </c>
      <c r="B12" s="45">
        <f>'1. Setup'!$B$15-'1. Setup'!$B$22-'1. Setup'!$B$30-'1. Setup'!$B$41-'1. Setup'!$B$45-'1. Setup'!$B$46</f>
        <v/>
      </c>
      <c r="C12" s="25">
        <f>IF(B12&gt;0,"OK",IF(B12=0,"FLAT","LOSS"))</f>
        <v/>
      </c>
      <c r="E12" s="15" t="inlineStr">
        <is>
          <t>Actual ROAS (blended)</t>
        </is>
      </c>
      <c r="F12" s="28">
        <f>IFERROR('1. Setup'!$B$15/'1. Setup'!$B$34,0)</f>
        <v/>
      </c>
    </row>
    <row r="13">
      <c r="A13" s="9" t="inlineStr">
        <is>
          <t>Gross Margin</t>
        </is>
      </c>
      <c r="B13" s="47">
        <f>IFERROR(('1. Setup'!$B$15-'1. Setup'!$B$22)/'1. Setup'!$B$15,0)</f>
        <v/>
      </c>
      <c r="C13" s="25">
        <f>IF(B13&gt;0,"OK",IF(B13=0,"FLAT","LOSS"))</f>
        <v/>
      </c>
      <c r="E13" s="15" t="inlineStr">
        <is>
          <t>ROAS headroom</t>
        </is>
      </c>
      <c r="F13" s="28">
        <f>IFERROR('1. Setup'!$B$15/'1. Setup'!$B$34-'1. Setup'!$B$15/('1. Setup'!$B$15-'1. Setup'!$B$22-'1. Setup'!$B$30),0)</f>
        <v/>
      </c>
    </row>
    <row r="14">
      <c r="A14" s="9" t="inlineStr">
        <is>
          <t>Net Margin</t>
        </is>
      </c>
      <c r="B14" s="47">
        <f>IFERROR(('1. Setup'!$B$15-'1. Setup'!$B$22-'1. Setup'!$B$30-'1. Setup'!$B$41-'1. Setup'!$B$45-'1. Setup'!$B$46)/'1. Setup'!$B$15,0)</f>
        <v/>
      </c>
      <c r="C14" s="25">
        <f>IF(B14&gt;0,"OK",IF(B14=0,"FLAT","LOSS"))</f>
        <v/>
      </c>
      <c r="E14" s="15" t="inlineStr">
        <is>
          <t>Repeat rate</t>
        </is>
      </c>
      <c r="F14" s="46">
        <f>IFERROR('1. Setup'!$B$55/('1. Setup'!$B$54+'1. Setup'!$B$55),0)</f>
        <v/>
      </c>
    </row>
    <row r="15">
      <c r="E15" s="15" t="inlineStr">
        <is>
          <t>Churn rate</t>
        </is>
      </c>
      <c r="F15" s="46">
        <f>IFERROR('1. Setup'!$B$56/'1. Setup'!$B$57,0)</f>
        <v/>
      </c>
    </row>
    <row r="16" ht="21.75" customHeight="1">
      <c r="A16" s="6" t="inlineStr">
        <is>
          <t>CASH  ·  RUNWAY</t>
        </is>
      </c>
      <c r="E16" s="6" t="inlineStr">
        <is>
          <t>LIQUIDITY &amp; CASH CYCLE</t>
        </is>
      </c>
    </row>
    <row r="17">
      <c r="A17" s="14" t="inlineStr">
        <is>
          <t>Metric</t>
        </is>
      </c>
      <c r="B17" s="14" t="inlineStr">
        <is>
          <t>Value</t>
        </is>
      </c>
      <c r="C17" s="14" t="inlineStr">
        <is>
          <t>Status</t>
        </is>
      </c>
      <c r="E17" s="14" t="inlineStr">
        <is>
          <t>Metric</t>
        </is>
      </c>
      <c r="F17" s="14" t="inlineStr">
        <is>
          <t>Value</t>
        </is>
      </c>
    </row>
    <row r="18">
      <c r="A18" s="9" t="inlineStr">
        <is>
          <t>Operating Cash Flow (approx)</t>
        </is>
      </c>
      <c r="B18" s="48">
        <f>('1. Setup'!$B$15-'1. Setup'!$B$22-'1. Setup'!$B$30-'1. Setup'!$B$41-'1. Setup'!$B$45-'1. Setup'!$B$46)+'1. Setup'!$B$40</f>
        <v/>
      </c>
      <c r="C18" s="25">
        <f>IF(ISTEXT(B18),"OK",IF(B18&gt;=0,"OK","LOSS"))</f>
        <v/>
      </c>
      <c r="E18" s="15" t="inlineStr">
        <is>
          <t>Current Ratio</t>
        </is>
      </c>
      <c r="F18" s="31">
        <f>IFERROR('1. Setup'!$B$63/'1. Setup'!$B$64,0)</f>
        <v/>
      </c>
    </row>
    <row r="19">
      <c r="A19" s="9" t="inlineStr">
        <is>
          <t>Cash out below the line</t>
        </is>
      </c>
      <c r="B19" s="48">
        <f>'1. Setup'!$B$47+'1. Setup'!$B$48+'1. Setup'!$B$49</f>
        <v/>
      </c>
      <c r="C19" s="25">
        <f>IF(ISTEXT(B19),"OK",IF(B19&gt;=0,"OK","LOSS"))</f>
        <v/>
      </c>
      <c r="E19" s="15" t="inlineStr">
        <is>
          <t>Quick Ratio</t>
        </is>
      </c>
      <c r="F19" s="31">
        <f>IFERROR(('1. Setup'!$B$63-'1. Setup'!$B$60)/'1. Setup'!$B$64,0)</f>
        <v/>
      </c>
    </row>
    <row r="20">
      <c r="A20" s="9" t="inlineStr">
        <is>
          <t>Net Cash Change</t>
        </is>
      </c>
      <c r="B20" s="48">
        <f>('1. Setup'!$B$15-'1. Setup'!$B$22-'1. Setup'!$B$30-'1. Setup'!$B$41-'1. Setup'!$B$45-'1. Setup'!$B$46)+'1. Setup'!$B$40-'1. Setup'!$B$47-'1. Setup'!$B$48-'1. Setup'!$B$49</f>
        <v/>
      </c>
      <c r="C20" s="25">
        <f>IF(ISTEXT(B20),"OK",IF(B20&gt;=0,"OK","LOSS"))</f>
        <v/>
      </c>
      <c r="E20" s="15" t="inlineStr">
        <is>
          <t>Debt / Equity</t>
        </is>
      </c>
      <c r="F20" s="31">
        <f>IFERROR('1. Setup'!$B$62/'1. Setup'!$B$65,0)</f>
        <v/>
      </c>
    </row>
    <row r="21">
      <c r="A21" s="9" t="inlineStr">
        <is>
          <t>Monthly Net Burn</t>
        </is>
      </c>
      <c r="B21" s="48">
        <f>MAX(0,-(('1. Setup'!$B$15-'1. Setup'!$B$22-'1. Setup'!$B$30-'1. Setup'!$B$41-'1. Setup'!$B$45-'1. Setup'!$B$46)+'1. Setup'!$B$40-'1. Setup'!$B$47-'1. Setup'!$B$48-'1. Setup'!$B$49))</f>
        <v/>
      </c>
      <c r="C21" s="25">
        <f>IF(ISTEXT(B21),"OK",IF(B21&gt;=0,"OK","LOSS"))</f>
        <v/>
      </c>
      <c r="E21" s="15" t="inlineStr">
        <is>
          <t>Interest Coverage</t>
        </is>
      </c>
      <c r="F21" s="28">
        <f>IFERROR(('1. Setup'!$B$15-'1. Setup'!$B$22-'1. Setup'!$B$30-'1. Setup'!$B$41)/'1. Setup'!$B$45,0)</f>
        <v/>
      </c>
    </row>
    <row r="22">
      <c r="A22" s="9" t="inlineStr">
        <is>
          <t>Runway (months)</t>
        </is>
      </c>
      <c r="B22" s="32">
        <f>IF(MAX(0,-(('1. Setup'!$B$15-'1. Setup'!$B$22-'1. Setup'!$B$30-'1. Setup'!$B$41-'1. Setup'!$B$45-'1. Setup'!$B$46)+'1. Setup'!$B$40-'1. Setup'!$B$47-'1. Setup'!$B$48-'1. Setup'!$B$49))=0,"cash positive",'1. Setup'!$B$58/MAX(1,-(('1. Setup'!$B$15-'1. Setup'!$B$22-'1. Setup'!$B$30-'1. Setup'!$B$41-'1. Setup'!$B$45-'1. Setup'!$B$46)+'1. Setup'!$B$40-'1. Setup'!$B$47-'1. Setup'!$B$48-'1. Setup'!$B$49)))</f>
        <v/>
      </c>
      <c r="C22" s="25">
        <f>IF(ISTEXT(B22),"OK",IF(B22&gt;=0,"OK","LOSS"))</f>
        <v/>
      </c>
      <c r="E22" s="15" t="inlineStr">
        <is>
          <t>DIO (days)</t>
        </is>
      </c>
      <c r="F22" s="32">
        <f>IFERROR('1. Setup'!$B$60/'1. Setup'!$B$22*'1. Setup'!$B$66,0)</f>
        <v/>
      </c>
    </row>
    <row r="23">
      <c r="E23" s="15" t="inlineStr">
        <is>
          <t>DSO (days)</t>
        </is>
      </c>
      <c r="F23" s="32">
        <f>IFERROR('1. Setup'!$B$59/'1. Setup'!$B$15*'1. Setup'!$B$66,0)</f>
        <v/>
      </c>
    </row>
    <row r="24">
      <c r="E24" s="15" t="inlineStr">
        <is>
          <t>DPO (days)</t>
        </is>
      </c>
      <c r="F24" s="32">
        <f>IFERROR('1. Setup'!$B$61/'1. Setup'!$B$22*'1. Setup'!$B$66,0)</f>
        <v/>
      </c>
    </row>
    <row r="25">
      <c r="E25" s="15" t="inlineStr">
        <is>
          <t>Cash Conversion Cycle</t>
        </is>
      </c>
      <c r="F25" s="32">
        <f>IFERROR('1. Setup'!$B$60/'1. Setup'!$B$22*'1. Setup'!$B$66+'1. Setup'!$B$59/'1. Setup'!$B$15*'1. Setup'!$B$66-'1. Setup'!$B$61/'1. Setup'!$B$22*'1. Setup'!$B$66,0)</f>
        <v/>
      </c>
    </row>
    <row r="27" ht="21.75" customHeight="1">
      <c r="A27" s="6" t="inlineStr">
        <is>
          <t>BREAK-EVEN</t>
        </is>
      </c>
    </row>
    <row r="28">
      <c r="A28" s="9" t="inlineStr">
        <is>
          <t>Fixed costs (OPEX excl. ads)</t>
        </is>
      </c>
      <c r="B28" s="48">
        <f>'1. Setup'!$B$41-'1. Setup'!$B$34</f>
        <v/>
      </c>
    </row>
    <row r="29">
      <c r="A29" s="9" t="inlineStr">
        <is>
          <t>CM ratio (pre-ad)</t>
        </is>
      </c>
      <c r="B29" s="46">
        <f>IFERROR(('1. Setup'!$B$15-'1. Setup'!$B$22-'1. Setup'!$B$30)/'1. Setup'!$B$15,0)</f>
        <v/>
      </c>
    </row>
    <row r="30">
      <c r="A30" s="9" t="inlineStr">
        <is>
          <t>Break-even revenue</t>
        </is>
      </c>
      <c r="B30" s="48">
        <f>IFERROR(B28/B29,0)</f>
        <v/>
      </c>
    </row>
    <row r="31">
      <c r="A31" s="9" t="inlineStr">
        <is>
          <t>Break-even orders</t>
        </is>
      </c>
      <c r="B31" s="33">
        <f>IFERROR(B30/IFERROR('1. Setup'!$B$15/'1. Setup'!$B$53,1),0)</f>
        <v/>
      </c>
    </row>
    <row r="32">
      <c r="A32" s="9" t="inlineStr">
        <is>
          <t>Margin of safety</t>
        </is>
      </c>
      <c r="B32" s="46">
        <f>IFERROR(('1. Setup'!$B$15-B30)/'1. Setup'!$B$15,0)</f>
        <v/>
      </c>
    </row>
    <row r="34" ht="21.75" customHeight="1">
      <c r="A34" s="6" t="inlineStr">
        <is>
          <t>VERDICT</t>
        </is>
      </c>
    </row>
    <row r="35" ht="33.75" customHeight="1">
      <c r="A35" s="3">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3" t="n"/>
      <c r="C35" s="43" t="n"/>
      <c r="D35" s="43" t="n"/>
      <c r="E35" s="43" t="n"/>
      <c r="F35" s="43" t="n"/>
      <c r="G35" s="43" t="n"/>
      <c r="H35" s="44" t="n"/>
    </row>
    <row r="56" ht="19.5" customHeight="1">
      <c r="A56" s="4" t="inlineStr">
        <is>
          <t>◆ Md Kamrul Hasan  ·  https://github.com/Kamrul5242  ·  Digital Signature MKH-EBIC-2.2.0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2" operator="equal" dxfId="1">
      <formula>"LOSS"</formula>
    </cfRule>
    <cfRule type="cellIs" priority="3" operator="equal" dxfId="0">
      <formula>"OK"</formula>
    </cfRule>
  </conditionalFormatting>
  <conditionalFormatting sqref="C18:C22">
    <cfRule type="cellIs" priority="4" operator="equal" dxfId="1">
      <formula>"LOSS"</formula>
    </cfRule>
    <cfRule type="cellIs" priority="5" operator="equal" dxfId="0">
      <formula>"OK"</formula>
    </cfRule>
  </conditionalFormatting>
  <pageMargins left="0.2" right="0.2" top="0.2" bottom="0.2" header="0.511811023622047" footer="0.511811023622047"/>
  <pageSetup orientation="landscape" horizontalDpi="300" verticalDpi="3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31"/>
  <sheetViews>
    <sheetView showGridLines="0" zoomScaleNormal="100" workbookViewId="0">
      <pane ySplit="3" topLeftCell="A4" activePane="bottomLeft" state="frozen"/>
      <selection pane="bottomLeft" activeCell="A1" sqref="A1"/>
    </sheetView>
  </sheetViews>
  <sheetFormatPr baseColWidth="8" defaultColWidth="8.7109375" defaultRowHeight="15"/>
  <cols>
    <col width="30" customWidth="1" min="1" max="1"/>
    <col width="22" customWidth="1" min="2" max="2"/>
    <col width="18" customWidth="1" min="3" max="6"/>
  </cols>
  <sheetData>
    <row r="1" ht="30" customHeight="1">
      <c r="A1" s="8" t="inlineStr">
        <is>
          <t>SCENARIO MODEL</t>
        </is>
      </c>
    </row>
    <row r="2" ht="18" customHeight="1">
      <c r="A2" s="7" t="inlineStr">
        <is>
          <t>Edit the yellow drivers. Conservative / Base / Aggressive recalculate live.</t>
        </is>
      </c>
    </row>
    <row r="4" ht="21.75" customHeight="1">
      <c r="A4" s="6" t="inlineStr">
        <is>
          <t>DRIVERS</t>
        </is>
      </c>
    </row>
    <row r="5">
      <c r="A5" s="14" t="inlineStr">
        <is>
          <t>Driver</t>
        </is>
      </c>
      <c r="B5" s="14" t="inlineStr">
        <is>
          <t>Conservative</t>
        </is>
      </c>
      <c r="C5" s="14" t="inlineStr">
        <is>
          <t>Base</t>
        </is>
      </c>
      <c r="D5" s="14" t="inlineStr">
        <is>
          <t>Aggressive</t>
        </is>
      </c>
    </row>
    <row r="6">
      <c r="A6" s="9" t="inlineStr">
        <is>
          <t>Revenue change</t>
        </is>
      </c>
      <c r="B6" s="49" t="n">
        <v>-0.25</v>
      </c>
      <c r="C6" s="49" t="n">
        <v>0</v>
      </c>
      <c r="D6" s="49" t="n">
        <v>0.25</v>
      </c>
    </row>
    <row r="7">
      <c r="A7" s="9" t="inlineStr">
        <is>
          <t>COGS % change</t>
        </is>
      </c>
      <c r="B7" s="49" t="n">
        <v>0.04</v>
      </c>
      <c r="C7" s="49" t="n">
        <v>0</v>
      </c>
      <c r="D7" s="49" t="n">
        <v>-0.02</v>
      </c>
    </row>
    <row r="8">
      <c r="A8" s="9" t="inlineStr">
        <is>
          <t>Ad spend change</t>
        </is>
      </c>
      <c r="B8" s="49" t="n">
        <v>0.1</v>
      </c>
      <c r="C8" s="49" t="n">
        <v>0</v>
      </c>
      <c r="D8" s="49" t="n">
        <v>0.2</v>
      </c>
    </row>
    <row r="9">
      <c r="A9" s="9" t="inlineStr">
        <is>
          <t>Fixed cost change</t>
        </is>
      </c>
      <c r="B9" s="49" t="n">
        <v>0.05</v>
      </c>
      <c r="C9" s="49" t="n">
        <v>0</v>
      </c>
      <c r="D9" s="49" t="n">
        <v>0</v>
      </c>
    </row>
    <row r="11" ht="21.75" customHeight="1">
      <c r="A11" s="6" t="inlineStr">
        <is>
          <t>OUTCOME</t>
        </is>
      </c>
    </row>
    <row r="12">
      <c r="A12" s="14" t="inlineStr">
        <is>
          <t>Line</t>
        </is>
      </c>
      <c r="B12" s="14" t="inlineStr">
        <is>
          <t>Conservative</t>
        </is>
      </c>
      <c r="C12" s="14" t="inlineStr">
        <is>
          <t>Base</t>
        </is>
      </c>
      <c r="D12" s="14" t="inlineStr">
        <is>
          <t>Aggressive</t>
        </is>
      </c>
    </row>
    <row r="13">
      <c r="A13" s="9" t="inlineStr">
        <is>
          <t>Net Revenue</t>
        </is>
      </c>
      <c r="B13" s="50">
        <f>'1. Setup'!$B$15*(1+B6)</f>
        <v/>
      </c>
      <c r="C13" s="50">
        <f>'1. Setup'!$B$15*(1+C6)</f>
        <v/>
      </c>
      <c r="D13" s="50">
        <f>'1. Setup'!$B$15*(1+D6)</f>
        <v/>
      </c>
    </row>
    <row r="14">
      <c r="A14" s="9" t="inlineStr">
        <is>
          <t>COGS</t>
        </is>
      </c>
      <c r="B14" s="50">
        <f>'1. Setup'!$B$22*(1+B6)*(1+B7)</f>
        <v/>
      </c>
      <c r="C14" s="50">
        <f>'1. Setup'!$B$22*(1+C6)*(1+C7)</f>
        <v/>
      </c>
      <c r="D14" s="50">
        <f>'1. Setup'!$B$22*(1+D6)*(1+D7)</f>
        <v/>
      </c>
    </row>
    <row r="15">
      <c r="A15" s="9" t="inlineStr">
        <is>
          <t>Other variable</t>
        </is>
      </c>
      <c r="B15" s="50">
        <f>'1. Setup'!$B$30*(1+B6)</f>
        <v/>
      </c>
      <c r="C15" s="50">
        <f>'1. Setup'!$B$30*(1+C6)</f>
        <v/>
      </c>
      <c r="D15" s="50">
        <f>'1. Setup'!$B$30*(1+D6)</f>
        <v/>
      </c>
    </row>
    <row r="16">
      <c r="A16" s="9" t="inlineStr">
        <is>
          <t>Ad spend</t>
        </is>
      </c>
      <c r="B16" s="50">
        <f>'1. Setup'!$B$34*(1+B8)</f>
        <v/>
      </c>
      <c r="C16" s="50">
        <f>'1. Setup'!$B$34*(1+C8)</f>
        <v/>
      </c>
      <c r="D16" s="50">
        <f>'1. Setup'!$B$34*(1+D8)</f>
        <v/>
      </c>
    </row>
    <row r="17">
      <c r="A17" s="9" t="inlineStr">
        <is>
          <t>Fixed OPEX</t>
        </is>
      </c>
      <c r="B17" s="50">
        <f>('1. Setup'!$B$41-'1. Setup'!$B$34)*(1+B9)</f>
        <v/>
      </c>
      <c r="C17" s="50">
        <f>('1. Setup'!$B$41-'1. Setup'!$B$34)*(1+C9)</f>
        <v/>
      </c>
      <c r="D17" s="50">
        <f>('1. Setup'!$B$41-'1. Setup'!$B$34)*(1+D9)</f>
        <v/>
      </c>
    </row>
    <row r="18">
      <c r="A18" s="9" t="inlineStr">
        <is>
          <t>Gross Profit</t>
        </is>
      </c>
      <c r="B18" s="48">
        <f>B13-B14</f>
        <v/>
      </c>
      <c r="C18" s="48">
        <f>C13-C14</f>
        <v/>
      </c>
      <c r="D18" s="48">
        <f>D13-D14</f>
        <v/>
      </c>
    </row>
    <row r="19">
      <c r="A19" s="9" t="inlineStr">
        <is>
          <t>Contribution after ads</t>
        </is>
      </c>
      <c r="B19" s="50">
        <f>B13-B14-B15-B16</f>
        <v/>
      </c>
      <c r="C19" s="50">
        <f>C13-C14-C15-C16</f>
        <v/>
      </c>
      <c r="D19" s="50">
        <f>D13-D14-D15-D16</f>
        <v/>
      </c>
    </row>
    <row r="20">
      <c r="A20" s="9" t="inlineStr">
        <is>
          <t>Operating Profit</t>
        </is>
      </c>
      <c r="B20" s="48">
        <f>B19-B17</f>
        <v/>
      </c>
      <c r="C20" s="48">
        <f>C19-C17</f>
        <v/>
      </c>
      <c r="D20" s="48">
        <f>D19-D17</f>
        <v/>
      </c>
    </row>
    <row r="21">
      <c r="A21" s="9" t="inlineStr">
        <is>
          <t>Operating Margin</t>
        </is>
      </c>
      <c r="B21" s="51">
        <f>IFERROR(B20/B13,0)</f>
        <v/>
      </c>
      <c r="C21" s="51">
        <f>IFERROR(C20/C13,0)</f>
        <v/>
      </c>
      <c r="D21" s="51">
        <f>IFERROR(D20/D13,0)</f>
        <v/>
      </c>
    </row>
    <row r="22">
      <c r="A22" s="9" t="inlineStr">
        <is>
          <t>Verdict</t>
        </is>
      </c>
      <c r="B22" s="52">
        <f>IF(B20&gt;0,"PROFIT","LOSS")</f>
        <v/>
      </c>
      <c r="C22" s="52">
        <f>IF(C20&gt;0,"PROFIT","LOSS")</f>
        <v/>
      </c>
      <c r="D22" s="52">
        <f>IF(D20&gt;0,"PROFIT","LOSS")</f>
        <v/>
      </c>
    </row>
    <row r="24" ht="21.75" customHeight="1">
      <c r="A24" s="6" t="inlineStr">
        <is>
          <t>PRICE SENSITIVITY  ·  how much volume can you afford to lose?</t>
        </is>
      </c>
    </row>
    <row r="25">
      <c r="A25" s="14" t="inlineStr">
        <is>
          <t>Price increase</t>
        </is>
      </c>
      <c r="B25" s="14" t="inlineStr">
        <is>
          <t>Max volume loss tolerable</t>
        </is>
      </c>
      <c r="C25" s="44" t="n"/>
    </row>
    <row r="26">
      <c r="A26" s="38" t="n">
        <v>0.05</v>
      </c>
      <c r="B26" s="53">
        <f>IFERROR(0.05/(IFERROR(('1. Setup'!$B$15-'1. Setup'!$B$22-'1. Setup'!$B$30)/'1. Setup'!$B$15,0.3)+0.05),0)</f>
        <v/>
      </c>
      <c r="C26" s="44" t="n"/>
    </row>
    <row r="27">
      <c r="A27" s="38" t="n">
        <v>0.1</v>
      </c>
      <c r="B27" s="53">
        <f>IFERROR(0.1/(IFERROR(('1. Setup'!$B$15-'1. Setup'!$B$22-'1. Setup'!$B$30)/'1. Setup'!$B$15,0.3)+0.1),0)</f>
        <v/>
      </c>
      <c r="C27" s="44" t="n"/>
    </row>
    <row r="28">
      <c r="A28" s="38" t="n">
        <v>0.15</v>
      </c>
      <c r="B28" s="53">
        <f>IFERROR(0.15/(IFERROR(('1. Setup'!$B$15-'1. Setup'!$B$22-'1. Setup'!$B$30)/'1. Setup'!$B$15,0.3)+0.15),0)</f>
        <v/>
      </c>
      <c r="C28" s="44" t="n"/>
    </row>
    <row r="29">
      <c r="A29" s="38" t="n">
        <v>0.2</v>
      </c>
      <c r="B29" s="53">
        <f>IFERROR(0.2/(IFERROR(('1. Setup'!$B$15-'1. Setup'!$B$22-'1. Setup'!$B$30)/'1. Setup'!$B$15,0.3)+0.2),0)</f>
        <v/>
      </c>
      <c r="C29" s="44" t="n"/>
    </row>
    <row r="31" ht="19.5" customHeight="1">
      <c r="A31" s="4" t="inlineStr">
        <is>
          <t>◆ Md Kamrul Hasan  ·  https://github.com/Kamrul5242  ·  Digital Signature MKH-EBIC-2.2.0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2" operator="equal" dxfId="1">
      <formula>"LOSS"</formula>
    </cfRule>
    <cfRule type="cellIs" priority="3" operator="equal" dxfId="0">
      <formula>"PROFIT"</formula>
    </cfRule>
  </conditionalFormatting>
  <pageMargins left="0.2" right="0.2" top="0.2" bottom="0.2" header="0.511811023622047" footer="0.511811023622047"/>
  <pageSetup orientation="landscape" horizontalDpi="300" verticalDpi="300"/>
</worksheet>
</file>

<file path=xl/worksheets/sheet4.xml><?xml version="1.0" encoding="utf-8"?>
<worksheet xmlns="http://schemas.openxmlformats.org/spreadsheetml/2006/main">
  <sheetPr>
    <outlinePr summaryBelow="1" summaryRight="1"/>
    <pageSetUpPr fitToPage="1"/>
  </sheetPr>
  <dimension ref="A1:D35"/>
  <sheetViews>
    <sheetView showGridLines="0" zoomScaleNormal="100" workbookViewId="0">
      <selection activeCell="A1" sqref="A1"/>
    </sheetView>
  </sheetViews>
  <sheetFormatPr baseColWidth="8" defaultColWidth="8.7109375" defaultRowHeight="15"/>
  <cols>
    <col width="10" customWidth="1" min="1" max="2"/>
    <col width="26" customWidth="1" min="3" max="3"/>
    <col width="10" customWidth="1" min="4" max="4"/>
  </cols>
  <sheetData>
    <row r="1">
      <c r="A1" s="14" t="inlineStr">
        <is>
          <t>Code</t>
        </is>
      </c>
      <c r="B1" s="14" t="inlineStr">
        <is>
          <t>Symbol</t>
        </is>
      </c>
      <c r="C1" s="14" t="inlineStr">
        <is>
          <t>Name</t>
        </is>
      </c>
      <c r="D1" s="14" t="inlineStr">
        <is>
          <t>Decimals</t>
        </is>
      </c>
    </row>
    <row r="2">
      <c r="A2" s="39" t="inlineStr">
        <is>
          <t>BDT</t>
        </is>
      </c>
      <c r="B2" s="39" t="inlineStr">
        <is>
          <t>৳</t>
        </is>
      </c>
      <c r="C2" s="39" t="inlineStr">
        <is>
          <t>Bangladeshi Taka</t>
        </is>
      </c>
      <c r="D2" s="39" t="n">
        <v>2</v>
      </c>
    </row>
    <row r="3">
      <c r="A3" s="39" t="inlineStr">
        <is>
          <t>INR</t>
        </is>
      </c>
      <c r="B3" s="39" t="inlineStr">
        <is>
          <t>₹</t>
        </is>
      </c>
      <c r="C3" s="39" t="inlineStr">
        <is>
          <t>Indian Rupee</t>
        </is>
      </c>
      <c r="D3" s="39" t="n">
        <v>2</v>
      </c>
    </row>
    <row r="4">
      <c r="A4" s="39" t="inlineStr">
        <is>
          <t>PKR</t>
        </is>
      </c>
      <c r="B4" s="39" t="inlineStr">
        <is>
          <t>₨</t>
        </is>
      </c>
      <c r="C4" s="39" t="inlineStr">
        <is>
          <t>Pakistani Rupee</t>
        </is>
      </c>
      <c r="D4" s="39" t="n">
        <v>2</v>
      </c>
    </row>
    <row r="5">
      <c r="A5" s="39" t="inlineStr">
        <is>
          <t>LKR</t>
        </is>
      </c>
      <c r="B5" s="39" t="inlineStr">
        <is>
          <t>Rs</t>
        </is>
      </c>
      <c r="C5" s="39" t="inlineStr">
        <is>
          <t>Sri Lankan Rupee</t>
        </is>
      </c>
      <c r="D5" s="39" t="n">
        <v>2</v>
      </c>
    </row>
    <row r="6">
      <c r="A6" s="39" t="inlineStr">
        <is>
          <t>NPR</t>
        </is>
      </c>
      <c r="B6" s="39" t="inlineStr">
        <is>
          <t>रू</t>
        </is>
      </c>
      <c r="C6" s="39" t="inlineStr">
        <is>
          <t>Nepalese Rupee</t>
        </is>
      </c>
      <c r="D6" s="39" t="n">
        <v>2</v>
      </c>
    </row>
    <row r="7">
      <c r="A7" s="39" t="inlineStr">
        <is>
          <t>USD</t>
        </is>
      </c>
      <c r="B7" s="39" t="inlineStr">
        <is>
          <t>$</t>
        </is>
      </c>
      <c r="C7" s="39" t="inlineStr">
        <is>
          <t>US Dollar</t>
        </is>
      </c>
      <c r="D7" s="39" t="n">
        <v>2</v>
      </c>
    </row>
    <row r="8">
      <c r="A8" s="39" t="inlineStr">
        <is>
          <t>EUR</t>
        </is>
      </c>
      <c r="B8" s="39" t="inlineStr">
        <is>
          <t>€</t>
        </is>
      </c>
      <c r="C8" s="39" t="inlineStr">
        <is>
          <t>Euro</t>
        </is>
      </c>
      <c r="D8" s="39" t="n">
        <v>2</v>
      </c>
    </row>
    <row r="9">
      <c r="A9" s="39" t="inlineStr">
        <is>
          <t>GBP</t>
        </is>
      </c>
      <c r="B9" s="39" t="inlineStr">
        <is>
          <t>£</t>
        </is>
      </c>
      <c r="C9" s="39" t="inlineStr">
        <is>
          <t>Pound Sterling</t>
        </is>
      </c>
      <c r="D9" s="39" t="n">
        <v>2</v>
      </c>
    </row>
    <row r="10">
      <c r="A10" s="39" t="inlineStr">
        <is>
          <t>CAD</t>
        </is>
      </c>
      <c r="B10" s="39" t="inlineStr">
        <is>
          <t>C$</t>
        </is>
      </c>
      <c r="C10" s="39" t="inlineStr">
        <is>
          <t>Canadian Dollar</t>
        </is>
      </c>
      <c r="D10" s="39" t="n">
        <v>2</v>
      </c>
    </row>
    <row r="11">
      <c r="A11" s="39" t="inlineStr">
        <is>
          <t>AUD</t>
        </is>
      </c>
      <c r="B11" s="39" t="inlineStr">
        <is>
          <t>A$</t>
        </is>
      </c>
      <c r="C11" s="39" t="inlineStr">
        <is>
          <t>Australian Dollar</t>
        </is>
      </c>
      <c r="D11" s="39" t="n">
        <v>2</v>
      </c>
    </row>
    <row r="12">
      <c r="A12" s="39" t="inlineStr">
        <is>
          <t>AED</t>
        </is>
      </c>
      <c r="B12" s="39" t="inlineStr">
        <is>
          <t>د.إ</t>
        </is>
      </c>
      <c r="C12" s="39" t="inlineStr">
        <is>
          <t>UAE Dirham</t>
        </is>
      </c>
      <c r="D12" s="39" t="n">
        <v>2</v>
      </c>
    </row>
    <row r="13">
      <c r="A13" s="39" t="inlineStr">
        <is>
          <t>SAR</t>
        </is>
      </c>
      <c r="B13" s="39" t="inlineStr">
        <is>
          <t>SR</t>
        </is>
      </c>
      <c r="C13" s="39" t="inlineStr">
        <is>
          <t>Saudi Riyal</t>
        </is>
      </c>
      <c r="D13" s="39" t="n">
        <v>2</v>
      </c>
    </row>
    <row r="14">
      <c r="A14" s="39" t="inlineStr">
        <is>
          <t>QAR</t>
        </is>
      </c>
      <c r="B14" s="39" t="inlineStr">
        <is>
          <t>QR</t>
        </is>
      </c>
      <c r="C14" s="39" t="inlineStr">
        <is>
          <t>Qatari Riyal</t>
        </is>
      </c>
      <c r="D14" s="39" t="n">
        <v>2</v>
      </c>
    </row>
    <row r="15">
      <c r="A15" s="39" t="inlineStr">
        <is>
          <t>KWD</t>
        </is>
      </c>
      <c r="B15" s="39" t="inlineStr">
        <is>
          <t>KD</t>
        </is>
      </c>
      <c r="C15" s="39" t="inlineStr">
        <is>
          <t>Kuwaiti Dinar</t>
        </is>
      </c>
      <c r="D15" s="39" t="n">
        <v>3</v>
      </c>
    </row>
    <row r="16">
      <c r="A16" s="39" t="inlineStr">
        <is>
          <t>BHD</t>
        </is>
      </c>
      <c r="B16" s="39" t="inlineStr">
        <is>
          <t>BD</t>
        </is>
      </c>
      <c r="C16" s="39" t="inlineStr">
        <is>
          <t>Bahraini Dinar</t>
        </is>
      </c>
      <c r="D16" s="39" t="n">
        <v>3</v>
      </c>
    </row>
    <row r="17">
      <c r="A17" s="39" t="inlineStr">
        <is>
          <t>OMR</t>
        </is>
      </c>
      <c r="B17" s="39" t="inlineStr">
        <is>
          <t>OR</t>
        </is>
      </c>
      <c r="C17" s="39" t="inlineStr">
        <is>
          <t>Omani Rial</t>
        </is>
      </c>
      <c r="D17" s="39" t="n">
        <v>3</v>
      </c>
    </row>
    <row r="18">
      <c r="A18" s="39" t="inlineStr">
        <is>
          <t>MYR</t>
        </is>
      </c>
      <c r="B18" s="39" t="inlineStr">
        <is>
          <t>RM</t>
        </is>
      </c>
      <c r="C18" s="39" t="inlineStr">
        <is>
          <t>Malaysian Ringgit</t>
        </is>
      </c>
      <c r="D18" s="39" t="n">
        <v>2</v>
      </c>
    </row>
    <row r="19">
      <c r="A19" s="39" t="inlineStr">
        <is>
          <t>SGD</t>
        </is>
      </c>
      <c r="B19" s="39" t="inlineStr">
        <is>
          <t>S$</t>
        </is>
      </c>
      <c r="C19" s="39" t="inlineStr">
        <is>
          <t>Singapore Dollar</t>
        </is>
      </c>
      <c r="D19" s="39" t="n">
        <v>2</v>
      </c>
    </row>
    <row r="20">
      <c r="A20" s="39" t="inlineStr">
        <is>
          <t>THB</t>
        </is>
      </c>
      <c r="B20" s="39" t="inlineStr">
        <is>
          <t>฿</t>
        </is>
      </c>
      <c r="C20" s="39" t="inlineStr">
        <is>
          <t>Thai Baht</t>
        </is>
      </c>
      <c r="D20" s="39" t="n">
        <v>2</v>
      </c>
    </row>
    <row r="21">
      <c r="A21" s="39" t="inlineStr">
        <is>
          <t>IDR</t>
        </is>
      </c>
      <c r="B21" s="39" t="inlineStr">
        <is>
          <t>Rp</t>
        </is>
      </c>
      <c r="C21" s="39" t="inlineStr">
        <is>
          <t>Indonesian Rupiah</t>
        </is>
      </c>
      <c r="D21" s="39" t="n">
        <v>0</v>
      </c>
    </row>
    <row r="22">
      <c r="A22" s="39" t="inlineStr">
        <is>
          <t>VND</t>
        </is>
      </c>
      <c r="B22" s="39" t="inlineStr">
        <is>
          <t>₫</t>
        </is>
      </c>
      <c r="C22" s="39" t="inlineStr">
        <is>
          <t>Vietnamese Dong</t>
        </is>
      </c>
      <c r="D22" s="39" t="n">
        <v>0</v>
      </c>
    </row>
    <row r="23">
      <c r="A23" s="39" t="inlineStr">
        <is>
          <t>PHP</t>
        </is>
      </c>
      <c r="B23" s="39" t="inlineStr">
        <is>
          <t>₱</t>
        </is>
      </c>
      <c r="C23" s="39" t="inlineStr">
        <is>
          <t>Philippine Peso</t>
        </is>
      </c>
      <c r="D23" s="39" t="n">
        <v>2</v>
      </c>
    </row>
    <row r="24">
      <c r="A24" s="39" t="inlineStr">
        <is>
          <t>CNY</t>
        </is>
      </c>
      <c r="B24" s="39" t="inlineStr">
        <is>
          <t>CN¥</t>
        </is>
      </c>
      <c r="C24" s="39" t="inlineStr">
        <is>
          <t>Chinese Yuan</t>
        </is>
      </c>
      <c r="D24" s="39" t="n">
        <v>2</v>
      </c>
    </row>
    <row r="25">
      <c r="A25" s="39" t="inlineStr">
        <is>
          <t>JPY</t>
        </is>
      </c>
      <c r="B25" s="39" t="inlineStr">
        <is>
          <t>JP¥</t>
        </is>
      </c>
      <c r="C25" s="39" t="inlineStr">
        <is>
          <t>Japanese Yen</t>
        </is>
      </c>
      <c r="D25" s="39" t="n">
        <v>0</v>
      </c>
    </row>
    <row r="26">
      <c r="A26" s="39" t="inlineStr">
        <is>
          <t>KRW</t>
        </is>
      </c>
      <c r="B26" s="39" t="inlineStr">
        <is>
          <t>₩</t>
        </is>
      </c>
      <c r="C26" s="39" t="inlineStr">
        <is>
          <t>Korean Won</t>
        </is>
      </c>
      <c r="D26" s="39" t="n">
        <v>0</v>
      </c>
    </row>
    <row r="27">
      <c r="A27" s="39" t="inlineStr">
        <is>
          <t>TRY</t>
        </is>
      </c>
      <c r="B27" s="39" t="inlineStr">
        <is>
          <t>₺</t>
        </is>
      </c>
      <c r="C27" s="39" t="inlineStr">
        <is>
          <t>Turkish Lira</t>
        </is>
      </c>
      <c r="D27" s="39" t="n">
        <v>2</v>
      </c>
    </row>
    <row r="28">
      <c r="A28" s="39" t="inlineStr">
        <is>
          <t>EGP</t>
        </is>
      </c>
      <c r="B28" s="39" t="inlineStr">
        <is>
          <t>E£</t>
        </is>
      </c>
      <c r="C28" s="39" t="inlineStr">
        <is>
          <t>Egyptian Pound</t>
        </is>
      </c>
      <c r="D28" s="39" t="n">
        <v>2</v>
      </c>
    </row>
    <row r="29">
      <c r="A29" s="39" t="inlineStr">
        <is>
          <t>NGN</t>
        </is>
      </c>
      <c r="B29" s="39" t="inlineStr">
        <is>
          <t>₦</t>
        </is>
      </c>
      <c r="C29" s="39" t="inlineStr">
        <is>
          <t>Nigerian Naira</t>
        </is>
      </c>
      <c r="D29" s="39" t="n">
        <v>2</v>
      </c>
    </row>
    <row r="30">
      <c r="A30" s="39" t="inlineStr">
        <is>
          <t>ZAR</t>
        </is>
      </c>
      <c r="B30" s="39" t="inlineStr">
        <is>
          <t>R</t>
        </is>
      </c>
      <c r="C30" s="39" t="inlineStr">
        <is>
          <t>South African Rand</t>
        </is>
      </c>
      <c r="D30" s="39" t="n">
        <v>2</v>
      </c>
    </row>
    <row r="31">
      <c r="A31" s="39" t="inlineStr">
        <is>
          <t>KES</t>
        </is>
      </c>
      <c r="B31" s="39" t="inlineStr">
        <is>
          <t>KSh</t>
        </is>
      </c>
      <c r="C31" s="39" t="inlineStr">
        <is>
          <t>Kenyan Shilling</t>
        </is>
      </c>
      <c r="D31" s="39" t="n">
        <v>2</v>
      </c>
    </row>
    <row r="32">
      <c r="A32" s="39" t="inlineStr">
        <is>
          <t>BRL</t>
        </is>
      </c>
      <c r="B32" s="39" t="inlineStr">
        <is>
          <t>R$</t>
        </is>
      </c>
      <c r="C32" s="39" t="inlineStr">
        <is>
          <t>Brazilian Real</t>
        </is>
      </c>
      <c r="D32" s="39" t="n">
        <v>2</v>
      </c>
    </row>
    <row r="33">
      <c r="A33" s="39" t="inlineStr">
        <is>
          <t>MXN</t>
        </is>
      </c>
      <c r="B33" s="39" t="inlineStr">
        <is>
          <t>Mex$</t>
        </is>
      </c>
      <c r="C33" s="39" t="inlineStr">
        <is>
          <t>Mexican Peso</t>
        </is>
      </c>
      <c r="D33" s="39" t="n">
        <v>2</v>
      </c>
    </row>
    <row r="34">
      <c r="A34" s="39" t="inlineStr">
        <is>
          <t>CHF</t>
        </is>
      </c>
      <c r="B34" s="39" t="inlineStr">
        <is>
          <t>CHF</t>
        </is>
      </c>
      <c r="C34" s="39" t="inlineStr">
        <is>
          <t>Swiss Franc</t>
        </is>
      </c>
      <c r="D34" s="39" t="n">
        <v>2</v>
      </c>
    </row>
    <row r="35">
      <c r="A35" s="39" t="inlineStr">
        <is>
          <t>SEK</t>
        </is>
      </c>
      <c r="B35" s="39" t="inlineStr">
        <is>
          <t>kr</t>
        </is>
      </c>
      <c r="C35" s="39" t="inlineStr">
        <is>
          <t>Swedish Krona</t>
        </is>
      </c>
      <c r="D35" s="39" t="n">
        <v>2</v>
      </c>
    </row>
  </sheetData>
  <pageMargins left="0.2" right="0.2" top="0.2" bottom="0.2" header="0.511811023622047" footer="0.511811023622047"/>
  <pageSetup orientation="landscape" horizontalDpi="300" verticalDpi="300"/>
</worksheet>
</file>

<file path=xl/worksheets/sheet5.xml><?xml version="1.0" encoding="utf-8"?>
<worksheet xmlns="http://schemas.openxmlformats.org/spreadsheetml/2006/main">
  <sheetPr>
    <outlinePr summaryBelow="1" summaryRight="1"/>
    <pageSetUpPr fitToPage="1"/>
  </sheetPr>
  <dimension ref="A1:B12"/>
  <sheetViews>
    <sheetView showGridLines="0" zoomScaleNormal="100" workbookViewId="0">
      <selection activeCell="A1" sqref="A1:B1"/>
    </sheetView>
  </sheetViews>
  <sheetFormatPr baseColWidth="8" defaultColWidth="8.7109375" defaultRowHeight="15"/>
  <cols>
    <col width="26" customWidth="1" min="1" max="1"/>
    <col width="62" customWidth="1" min="2" max="2"/>
  </cols>
  <sheetData>
    <row r="1" ht="30" customHeight="1">
      <c r="A1" s="8" t="inlineStr">
        <is>
          <t>DIGITAL SIGNATURE  ·  DO NOT MODIFY</t>
        </is>
      </c>
    </row>
    <row r="3">
      <c r="A3" s="9" t="inlineStr">
        <is>
          <t>Author</t>
        </is>
      </c>
      <c r="B3" s="40" t="inlineStr">
        <is>
          <t>Md Kamrul Hasan</t>
        </is>
      </c>
    </row>
    <row r="4">
      <c r="A4" s="9" t="inlineStr">
        <is>
          <t>GitHub</t>
        </is>
      </c>
      <c r="B4" s="40" t="inlineStr">
        <is>
          <t>https://github.com/Kamrul5242</t>
        </is>
      </c>
    </row>
    <row r="5">
      <c r="A5" s="9" t="inlineStr">
        <is>
          <t>Skill</t>
        </is>
      </c>
      <c r="B5" s="40" t="inlineStr">
        <is>
          <t>entrepreneur-business-intelligence-cfo</t>
        </is>
      </c>
    </row>
    <row r="6">
      <c r="A6" s="9" t="inlineStr">
        <is>
          <t>Version</t>
        </is>
      </c>
      <c r="B6" s="40" t="inlineStr">
        <is>
          <t>2.1.0</t>
        </is>
      </c>
    </row>
    <row r="7">
      <c r="A7" s="9" t="inlineStr">
        <is>
          <t>Signature ID</t>
        </is>
      </c>
      <c r="B7" s="40" t="inlineStr">
        <is>
          <t>MKH-EBIC-2.2.0</t>
        </is>
      </c>
    </row>
    <row r="8">
      <c r="A8" s="9" t="inlineStr">
        <is>
          <t>License</t>
        </is>
      </c>
      <c r="B8" s="40" t="inlineStr">
        <is>
          <t>MIT — attribution required</t>
        </is>
      </c>
    </row>
    <row r="9">
      <c r="A9" s="9" t="inlineStr">
        <is>
          <t>Default currency</t>
        </is>
      </c>
      <c r="B9" s="40" t="inlineStr">
        <is>
          <t>BDT (all 34 supported)</t>
        </is>
      </c>
    </row>
    <row r="10" ht="63.75" customHeight="1">
      <c r="A10" s="9" t="inlineStr">
        <is>
          <t>Notice</t>
        </is>
      </c>
      <c r="B10" s="40" t="inlineStr">
        <is>
          <t>This workbook and its formula design are the work of Md Kamrul Hasan. The MIT License permits reuse and modification provided this attribution is retained in all copies and substantial portions.</t>
        </is>
      </c>
    </row>
    <row r="12" ht="19.5" customHeight="1">
      <c r="A12" s="4" t="inlineStr">
        <is>
          <t>◆ Md Kamrul Hasan  ·  https://github.com/Kamrul5242  ·  Digital Signature MKH-EBIC-2.2.0  ·  Attribution required under MIT License</t>
        </is>
      </c>
    </row>
  </sheetData>
  <sheetProtection selectLockedCells="0" selectUnlockedCells="0" algorithmName="SHA-512" sheet="1" objects="1" insertRows="1" insertHyperlinks="1" autoFilter="1" scenarios="1" formatColumns="1" deleteColumns="1" insertColumns="1" pivotTables="1" deleteRows="1" formatCells="1" saltValue="zeAycrs2lphsB129r0vh+w==" formatRows="1" sort="1" spinCount="100000" hashValue="4p5/MT5ZnZDgnWtbKkII9brF3bKGNq+UUpYL8EwW2ziEOFkRgdo2LeWc4lOpAywpNglKA5j5vBMwFZCR9ZxGVA=="/>
  <mergeCells count="2">
    <mergeCell ref="A1:B1"/>
    <mergeCell ref="A12:B12"/>
  </mergeCells>
  <pageMargins left="0.2" right="0.2" top="0.2" bottom="0.2"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MKH-EBIC-2.2.0. MIT License - attribution required.</dc:description>
  <dc:subject xmlns:dc="http://purl.org/dc/elements/1.1/">Digital Signature MKH-EBIC-2.2.0</dc:subject>
  <dc:identifier xmlns:dc="http://purl.org/dc/elements/1.1/">MKH-EBIC-2.2.0</dc:identifier>
  <dc:language xmlns:dc="http://purl.org/dc/elements/1.1/">en-US</dc:language>
  <dcterms:created xmlns:dcterms="http://purl.org/dc/terms/" xmlns:xsi="http://www.w3.org/2001/XMLSchema-instance" xsi:type="dcterms:W3CDTF">2026-08-21T03:12:25Z</dcterms:created>
  <dcterms:modified xmlns:dcterms="http://purl.org/dc/terms/" xmlns:xsi="http://www.w3.org/2001/XMLSchema-instance" xsi:type="dcterms:W3CDTF">2026-08-27T03:44:37Z</dcterms:modified>
  <cp:lastModifiedBy>Md Kamrul Hasan</cp:lastModifiedBy>
  <cp:category>Financial Analysis</cp:category>
  <cp:revision>3</cp:revision>
  <cp:keywords>Md Kamrul Hasan, MKH-EBIC-2.2.0, CFO, dashboard, BDT, multi-currency</cp:keywords>
</cp:coreProperties>
</file>